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rava\Downloads\"/>
    </mc:Choice>
  </mc:AlternateContent>
  <xr:revisionPtr revIDLastSave="0" documentId="8_{471E15DB-6601-4805-92DD-09DA60B27479}" xr6:coauthVersionLast="47" xr6:coauthVersionMax="47" xr10:uidLastSave="{00000000-0000-0000-0000-000000000000}"/>
  <bookViews>
    <workbookView xWindow="-110" yWindow="-110" windowWidth="19420" windowHeight="10300" activeTab="2" xr2:uid="{D37F24D9-3F18-4315-BCDC-C8656018DDD4}"/>
  </bookViews>
  <sheets>
    <sheet name="Raw_Data" sheetId="1" r:id="rId1"/>
    <sheet name="cleaned_data" sheetId="2" r:id="rId2"/>
    <sheet name="Analysis" sheetId="3" r:id="rId3"/>
    <sheet name="Lookup" sheetId="4" r:id="rId4"/>
    <sheet name="Documentation 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3" l="1"/>
  <c r="B42" i="3"/>
  <c r="B41" i="3"/>
  <c r="B6" i="3"/>
  <c r="B43" i="3"/>
  <c r="B40" i="3"/>
  <c r="B39" i="3"/>
  <c r="B38" i="3"/>
  <c r="B34" i="3"/>
  <c r="B33" i="3"/>
  <c r="B32" i="3"/>
  <c r="B31" i="3"/>
  <c r="B27" i="3"/>
  <c r="B26" i="3"/>
  <c r="B22" i="3"/>
  <c r="B21" i="3"/>
  <c r="B20" i="3"/>
  <c r="B17" i="3"/>
  <c r="B16" i="3"/>
  <c r="B15" i="3"/>
  <c r="B13" i="3"/>
  <c r="B12" i="3"/>
  <c r="B8" i="3"/>
  <c r="B7" i="3"/>
  <c r="B5" i="3"/>
  <c r="B4" i="3"/>
  <c r="B3" i="3"/>
  <c r="B2" i="3"/>
  <c r="B44" i="3" s="1"/>
</calcChain>
</file>

<file path=xl/sharedStrings.xml><?xml version="1.0" encoding="utf-8"?>
<sst xmlns="http://schemas.openxmlformats.org/spreadsheetml/2006/main" count="26575" uniqueCount="104">
  <si>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</si>
  <si>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</si>
  <si>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</si>
  <si>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</si>
  <si>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</si>
  <si>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</si>
  <si>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</si>
  <si>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</si>
  <si>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</si>
  <si>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</si>
  <si>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</si>
  <si>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</si>
  <si>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</si>
  <si>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</si>
  <si>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</si>
  <si>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</si>
  <si>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</si>
  <si>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</si>
  <si>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</si>
  <si>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</si>
  <si>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</si>
  <si>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</si>
  <si>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</si>
  <si>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</si>
  <si>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</si>
  <si>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</si>
  <si>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</si>
  <si>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</si>
  <si>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</si>
  <si>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</si>
  <si>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</si>
  <si>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</si>
  <si>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</si>
  <si>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</si>
  <si>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</si>
  <si>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</si>
  <si>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</si>
  <si>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</si>
  <si>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</si>
  <si>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</si>
  <si>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</si>
  <si>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</si>
  <si>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</si>
  <si>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</si>
  <si>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</si>
  <si>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</si>
  <si>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</si>
  <si>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</si>
  <si>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</si>
  <si>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</si>
  <si>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</si>
  <si>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</si>
  <si>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</si>
  <si>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</si>
  <si>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</si>
  <si>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</si>
  <si>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</si>
  <si>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</si>
  <si>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</si>
  <si>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</si>
  <si>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</si>
  <si>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</si>
  <si>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Project Name:</t>
  </si>
  <si>
    <t>IBM HR Employee Attrition Analysis</t>
  </si>
  <si>
    <t>Objective:</t>
  </si>
  <si>
    <t>Analyze employee data using Excel formulas to answer HR business questions and provide meaningful insights.</t>
  </si>
  <si>
    <t xml:space="preserve">Average Monthly Income </t>
  </si>
  <si>
    <t>Highest Monthly Income</t>
  </si>
  <si>
    <t xml:space="preserve">Lowest Monthly Income </t>
  </si>
  <si>
    <t>Average Age</t>
  </si>
  <si>
    <t xml:space="preserve">Employees Still Working ( Attritio = NO) </t>
  </si>
  <si>
    <t>Result</t>
  </si>
  <si>
    <t>Department Analysis</t>
  </si>
  <si>
    <t>Employees in Sales</t>
  </si>
  <si>
    <t>Employees in Research&amp;Development</t>
  </si>
  <si>
    <t>Average Monthly Income- Human Resources</t>
  </si>
  <si>
    <t>Average Monthly Income-Research &amp;Development</t>
  </si>
  <si>
    <t>Employees in Sales Executive</t>
  </si>
  <si>
    <t>Employees in Research Scientist</t>
  </si>
  <si>
    <t xml:space="preserve">Employees in Laboratory Technician </t>
  </si>
  <si>
    <t>Gender Analysis</t>
  </si>
  <si>
    <t xml:space="preserve">Female Employees </t>
  </si>
  <si>
    <t>Employees with rating 3</t>
  </si>
  <si>
    <t>Employees with Rating 4</t>
  </si>
  <si>
    <t>Average Monthly Income - rating 3</t>
  </si>
  <si>
    <t>Average Monthly Income -rating 4</t>
  </si>
  <si>
    <t>Employees Left - Sales</t>
  </si>
  <si>
    <t>Employees Left - Human Resources</t>
  </si>
  <si>
    <t>Employees Left - Research &amp; Development</t>
  </si>
  <si>
    <t>Male employees Left</t>
  </si>
  <si>
    <t>Female Employees Left</t>
  </si>
  <si>
    <t xml:space="preserve">Average Monthly Income- Employees Left </t>
  </si>
  <si>
    <t xml:space="preserve">Attrition Rate </t>
  </si>
  <si>
    <t xml:space="preserve">Result </t>
  </si>
  <si>
    <t xml:space="preserve">Total Employees </t>
  </si>
  <si>
    <t xml:space="preserve">HR analytics Summary </t>
  </si>
  <si>
    <t>Male Employees</t>
  </si>
  <si>
    <t>Employees in Human Resources</t>
  </si>
  <si>
    <t>Average Monthly Income - Sales</t>
  </si>
  <si>
    <t>Employees Left</t>
  </si>
  <si>
    <r>
      <rPr>
        <b/>
        <sz val="14"/>
        <color theme="2"/>
        <rFont val="Calibri"/>
        <family val="2"/>
        <scheme val="minor"/>
      </rPr>
      <t>Job Role Analysis</t>
    </r>
    <r>
      <rPr>
        <sz val="14"/>
        <color theme="2"/>
        <rFont val="Calibri"/>
        <family val="2"/>
        <scheme val="minor"/>
      </rPr>
      <t xml:space="preserve"> </t>
    </r>
  </si>
  <si>
    <r>
      <rPr>
        <b/>
        <sz val="14"/>
        <color theme="2"/>
        <rFont val="Calibri"/>
        <family val="2"/>
        <scheme val="minor"/>
      </rPr>
      <t>Performance Analysis</t>
    </r>
    <r>
      <rPr>
        <sz val="14"/>
        <color theme="2"/>
        <rFont val="Calibri"/>
        <family val="2"/>
        <scheme val="minor"/>
      </rPr>
      <t xml:space="preserve"> </t>
    </r>
  </si>
  <si>
    <r>
      <rPr>
        <b/>
        <sz val="14"/>
        <color theme="2"/>
        <rFont val="Calibri"/>
        <family val="2"/>
        <scheme val="minor"/>
      </rPr>
      <t>Result</t>
    </r>
    <r>
      <rPr>
        <sz val="14"/>
        <color theme="2"/>
        <rFont val="Calibri"/>
        <family val="2"/>
        <scheme val="minor"/>
      </rPr>
      <t xml:space="preserve"> </t>
    </r>
  </si>
  <si>
    <r>
      <rPr>
        <b/>
        <sz val="14"/>
        <color theme="2"/>
        <rFont val="Calibri"/>
        <family val="2"/>
        <scheme val="minor"/>
      </rPr>
      <t>Attrition Analysis</t>
    </r>
    <r>
      <rPr>
        <sz val="14"/>
        <color theme="2"/>
        <rFont val="Calibri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</si>
</sst>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&quot;₹&quot;\ #,##0.0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sz val="14"/>
      <color theme="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3" fillId="2" borderId="6" xfId="0" applyFont="1" applyFill="1" applyBorder="1"/>
    <xf numFmtId="1" fontId="3" fillId="2" borderId="6" xfId="0" applyNumberFormat="1" applyFont="1" applyFill="1" applyBorder="1"/>
    <xf numFmtId="0" fontId="2" fillId="0" borderId="6" xfId="0" applyFont="1" applyBorder="1"/>
    <xf numFmtId="164" fontId="2" fillId="0" borderId="6" xfId="0" applyNumberFormat="1" applyFont="1" applyBorder="1"/>
    <xf numFmtId="1" fontId="2" fillId="0" borderId="6" xfId="0" applyNumberFormat="1" applyFont="1" applyBorder="1"/>
    <xf numFmtId="165" fontId="2" fillId="0" borderId="6" xfId="0" applyNumberFormat="1" applyFont="1" applyBorder="1"/>
    <xf numFmtId="0" fontId="4" fillId="2" borderId="6" xfId="0" applyFont="1" applyFill="1" applyBorder="1"/>
    <xf numFmtId="0" fontId="1" fillId="2" borderId="6" xfId="0" applyFont="1" applyFill="1" applyBorder="1"/>
    <xf numFmtId="0" fontId="2" fillId="3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2EB7CF-1E3D-4AAA-9A8A-6FE0CA15B315}" name="employeedata" displayName="employeedata" ref="A1:AI1471" totalsRowShown="0">
  <autoFilter ref="A1:AI1471" xr:uid="{762EB7CF-1E3D-4AAA-9A8A-6FE0CA15B315}"/>
  <tableColumns count="35">
    <tableColumn id="1" xr3:uid="{4F8FD9BC-FC3A-40A3-A1E8-65148B5D3480}" name="Age"/>
    <tableColumn id="2" xr3:uid="{A8E1EF77-1505-4F22-A4DB-53B500E0D567}" name="Attrition"/>
    <tableColumn id="3" xr3:uid="{54B8FDFE-5592-42D8-BEA8-4E842A86E82C}" name="BusinessTravel"/>
    <tableColumn id="4" xr3:uid="{59D81D7E-CD0E-4806-83A2-16F278A361A4}" name="DailyRate"/>
    <tableColumn id="5" xr3:uid="{B8DD2EBD-09F6-4E6B-9E15-55AA0C4FAE40}" name="Department"/>
    <tableColumn id="6" xr3:uid="{886BE313-2133-49C2-B02D-F0D560F81D66}" name="DistanceFromHome"/>
    <tableColumn id="7" xr3:uid="{9086E9C7-C5F5-46D6-AFCE-379F1E3DA17B}" name="Education"/>
    <tableColumn id="8" xr3:uid="{84D66E89-B45B-4C63-A950-8F5FE9E01935}" name="EducationField"/>
    <tableColumn id="9" xr3:uid="{C2FACF98-1C9A-434F-8278-3E9D480DB1FD}" name="EmployeeCount"/>
    <tableColumn id="10" xr3:uid="{D3A41D7E-8168-449F-92E3-2AE99328F810}" name="EmployeeNumber"/>
    <tableColumn id="11" xr3:uid="{B4915F86-4F82-47C5-86DB-1920AA2BC9A0}" name="EnvironmentSatisfaction"/>
    <tableColumn id="12" xr3:uid="{27F5B7FE-8E5A-4598-AF4F-B6912A5BD21B}" name="Gender"/>
    <tableColumn id="13" xr3:uid="{6C3EEF04-FB7A-4037-84DB-65535E19F33B}" name="HourlyRate"/>
    <tableColumn id="14" xr3:uid="{B1C69960-2F71-46E3-A274-960F70F52A95}" name="JobInvolvement"/>
    <tableColumn id="15" xr3:uid="{D0E1577D-EA81-4C5F-B683-BC44A06E1432}" name="JobLevel"/>
    <tableColumn id="16" xr3:uid="{77973F9C-52C9-42AE-88D2-85701117A9E3}" name="JobRole"/>
    <tableColumn id="17" xr3:uid="{BACD926C-F646-418F-AA3F-58DE04D4F11F}" name="JobSatisfaction"/>
    <tableColumn id="18" xr3:uid="{F33C8E84-CA4B-4C37-AD18-786B09C652DF}" name="MaritalStatus"/>
    <tableColumn id="19" xr3:uid="{6BB3C004-A679-4CAA-8F1C-D07363B4378F}" name="MonthlyIncome"/>
    <tableColumn id="20" xr3:uid="{03A6564C-EE62-4C7F-9852-697DF0C3F449}" name="MonthlyRate"/>
    <tableColumn id="21" xr3:uid="{C9EB935C-3985-42B4-9A2F-C75CA654716C}" name="NumCompaniesWorked"/>
    <tableColumn id="22" xr3:uid="{4BEE5875-4B5D-4C1A-8247-A90428EAABDA}" name="Over18"/>
    <tableColumn id="23" xr3:uid="{AF25225F-AE60-410D-94D8-F209DD36FA39}" name="OverTime"/>
    <tableColumn id="24" xr3:uid="{2CA57F6A-6BF7-4E24-A080-C6941BDB5BDE}" name="PercentSalaryHike"/>
    <tableColumn id="25" xr3:uid="{DEAB17FB-A50C-4690-9D7F-6EBD01D25017}" name="PerformanceRating"/>
    <tableColumn id="26" xr3:uid="{5B2EF8A9-3744-4242-99ED-61EB85D0F465}" name="RelationshipSatisfaction"/>
    <tableColumn id="27" xr3:uid="{FDCFB33E-1DEB-4BC3-9E74-25EC970D631F}" name="StandardHours"/>
    <tableColumn id="28" xr3:uid="{7B0D0ACF-CA1F-413B-B609-DB2624361D4F}" name="StockOptionLevel"/>
    <tableColumn id="29" xr3:uid="{D2AF11F2-716D-4B63-A30F-97B22EE9B7E8}" name="TotalWorkingYears"/>
    <tableColumn id="30" xr3:uid="{6EEA626A-A1C4-4C46-92FC-56D4F8A6A1E4}" name="TrainingTimesLastYear"/>
    <tableColumn id="31" xr3:uid="{42D26729-5FE4-4727-A1DA-F32CBE3C37C7}" name="WorkLifeBalance"/>
    <tableColumn id="32" xr3:uid="{B3BC7B1A-FAAF-49DF-B1A2-20BFF4ACEBFC}" name="YearsAtCompany"/>
    <tableColumn id="33" xr3:uid="{CD294157-F31C-4688-9C8E-E121416551F9}" name="YearsInCurrentRole"/>
    <tableColumn id="34" xr3:uid="{55A920E8-9343-4C91-80CA-E36DED52EA00}" name="YearsSinceLastPromotion"/>
    <tableColumn id="35" xr3:uid="{8DF53790-7A2A-4518-BA19-E582C138EE98}" name="YearsWithCurr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9B21-667D-4614-963D-69C409558A7F}">
  <dimension ref="A1:AI1471"/>
  <sheetViews>
    <sheetView workbookViewId="0">
      <selection activeCell="V70" sqref="V70"/>
    </sheetView>
  </sheetViews>
  <sheetFormatPr defaultRowHeight="14.5" x14ac:dyDescent="0.35"/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35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35" x14ac:dyDescent="0.35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</row>
    <row r="4" spans="1:35" x14ac:dyDescent="0.35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</row>
    <row r="5" spans="1:35" x14ac:dyDescent="0.35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</row>
    <row r="6" spans="1:35" x14ac:dyDescent="0.35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</row>
    <row r="7" spans="1:35" x14ac:dyDescent="0.35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35" x14ac:dyDescent="0.35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35" x14ac:dyDescent="0.35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35" x14ac:dyDescent="0.35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35" x14ac:dyDescent="0.35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35" x14ac:dyDescent="0.35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35" x14ac:dyDescent="0.35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35" x14ac:dyDescent="0.35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35" x14ac:dyDescent="0.35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35" x14ac:dyDescent="0.35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 x14ac:dyDescent="0.35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 x14ac:dyDescent="0.35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 x14ac:dyDescent="0.35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 x14ac:dyDescent="0.35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 x14ac:dyDescent="0.35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 x14ac:dyDescent="0.35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 x14ac:dyDescent="0.35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 x14ac:dyDescent="0.35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 x14ac:dyDescent="0.35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 x14ac:dyDescent="0.35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 x14ac:dyDescent="0.35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 x14ac:dyDescent="0.35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 x14ac:dyDescent="0.35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 x14ac:dyDescent="0.35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 x14ac:dyDescent="0.35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 x14ac:dyDescent="0.35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 x14ac:dyDescent="0.35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 x14ac:dyDescent="0.35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 x14ac:dyDescent="0.35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 x14ac:dyDescent="0.35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 x14ac:dyDescent="0.35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 x14ac:dyDescent="0.35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 x14ac:dyDescent="0.35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 x14ac:dyDescent="0.35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 x14ac:dyDescent="0.35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 x14ac:dyDescent="0.35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 x14ac:dyDescent="0.35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 x14ac:dyDescent="0.35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 x14ac:dyDescent="0.35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 x14ac:dyDescent="0.35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 x14ac:dyDescent="0.35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 x14ac:dyDescent="0.35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 x14ac:dyDescent="0.35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 x14ac:dyDescent="0.35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 x14ac:dyDescent="0.35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 x14ac:dyDescent="0.35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 x14ac:dyDescent="0.35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 x14ac:dyDescent="0.35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 x14ac:dyDescent="0.35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 x14ac:dyDescent="0.35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 x14ac:dyDescent="0.35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 x14ac:dyDescent="0.35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 x14ac:dyDescent="0.35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 x14ac:dyDescent="0.35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 x14ac:dyDescent="0.35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 x14ac:dyDescent="0.35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 x14ac:dyDescent="0.35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 x14ac:dyDescent="0.35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 x14ac:dyDescent="0.35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 x14ac:dyDescent="0.35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 x14ac:dyDescent="0.35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 x14ac:dyDescent="0.35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 x14ac:dyDescent="0.35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 x14ac:dyDescent="0.35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 x14ac:dyDescent="0.35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 x14ac:dyDescent="0.35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 x14ac:dyDescent="0.35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 x14ac:dyDescent="0.35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 x14ac:dyDescent="0.35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 x14ac:dyDescent="0.35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 x14ac:dyDescent="0.35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 x14ac:dyDescent="0.35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 x14ac:dyDescent="0.35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 x14ac:dyDescent="0.35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 x14ac:dyDescent="0.35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 x14ac:dyDescent="0.35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 x14ac:dyDescent="0.35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 x14ac:dyDescent="0.35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 x14ac:dyDescent="0.35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 x14ac:dyDescent="0.35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 x14ac:dyDescent="0.35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 x14ac:dyDescent="0.35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 x14ac:dyDescent="0.35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 x14ac:dyDescent="0.35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 x14ac:dyDescent="0.35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 x14ac:dyDescent="0.35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 x14ac:dyDescent="0.35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 x14ac:dyDescent="0.35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 x14ac:dyDescent="0.35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 x14ac:dyDescent="0.35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 x14ac:dyDescent="0.35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 x14ac:dyDescent="0.35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 x14ac:dyDescent="0.35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 x14ac:dyDescent="0.35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 x14ac:dyDescent="0.35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 x14ac:dyDescent="0.35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 x14ac:dyDescent="0.35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 x14ac:dyDescent="0.35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 x14ac:dyDescent="0.35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 x14ac:dyDescent="0.35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 x14ac:dyDescent="0.35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 x14ac:dyDescent="0.35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 x14ac:dyDescent="0.35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 x14ac:dyDescent="0.35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 x14ac:dyDescent="0.35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 x14ac:dyDescent="0.35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 x14ac:dyDescent="0.35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 x14ac:dyDescent="0.35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 x14ac:dyDescent="0.35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 x14ac:dyDescent="0.35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 x14ac:dyDescent="0.35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 x14ac:dyDescent="0.35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 x14ac:dyDescent="0.35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 x14ac:dyDescent="0.35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 x14ac:dyDescent="0.35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 x14ac:dyDescent="0.35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 x14ac:dyDescent="0.35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 x14ac:dyDescent="0.35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 x14ac:dyDescent="0.35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 x14ac:dyDescent="0.35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 x14ac:dyDescent="0.35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 x14ac:dyDescent="0.35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 x14ac:dyDescent="0.35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 x14ac:dyDescent="0.35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 x14ac:dyDescent="0.35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 x14ac:dyDescent="0.35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 x14ac:dyDescent="0.35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 x14ac:dyDescent="0.35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 x14ac:dyDescent="0.35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 x14ac:dyDescent="0.35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 x14ac:dyDescent="0.35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 x14ac:dyDescent="0.35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 x14ac:dyDescent="0.35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 x14ac:dyDescent="0.35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 x14ac:dyDescent="0.35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 x14ac:dyDescent="0.35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 x14ac:dyDescent="0.35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 x14ac:dyDescent="0.35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 x14ac:dyDescent="0.35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 x14ac:dyDescent="0.35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 x14ac:dyDescent="0.35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 x14ac:dyDescent="0.35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 x14ac:dyDescent="0.35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 x14ac:dyDescent="0.35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 x14ac:dyDescent="0.35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 x14ac:dyDescent="0.35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 x14ac:dyDescent="0.35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 x14ac:dyDescent="0.35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 x14ac:dyDescent="0.35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 x14ac:dyDescent="0.35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 x14ac:dyDescent="0.35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 x14ac:dyDescent="0.35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 x14ac:dyDescent="0.35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 x14ac:dyDescent="0.35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 x14ac:dyDescent="0.35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 x14ac:dyDescent="0.35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 x14ac:dyDescent="0.35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 x14ac:dyDescent="0.35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 x14ac:dyDescent="0.35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 x14ac:dyDescent="0.35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 x14ac:dyDescent="0.35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 x14ac:dyDescent="0.35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 x14ac:dyDescent="0.35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 x14ac:dyDescent="0.35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 x14ac:dyDescent="0.35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 x14ac:dyDescent="0.35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 x14ac:dyDescent="0.35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 x14ac:dyDescent="0.35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 x14ac:dyDescent="0.35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 x14ac:dyDescent="0.35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 x14ac:dyDescent="0.35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 x14ac:dyDescent="0.35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 x14ac:dyDescent="0.35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 x14ac:dyDescent="0.35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 x14ac:dyDescent="0.35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 x14ac:dyDescent="0.35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 x14ac:dyDescent="0.35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 x14ac:dyDescent="0.35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 x14ac:dyDescent="0.35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 x14ac:dyDescent="0.35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 x14ac:dyDescent="0.35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 x14ac:dyDescent="0.35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 x14ac:dyDescent="0.35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 x14ac:dyDescent="0.35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 x14ac:dyDescent="0.35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 x14ac:dyDescent="0.35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 x14ac:dyDescent="0.35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 x14ac:dyDescent="0.35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 x14ac:dyDescent="0.35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 x14ac:dyDescent="0.35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 x14ac:dyDescent="0.35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 x14ac:dyDescent="0.35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 x14ac:dyDescent="0.35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 x14ac:dyDescent="0.35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 x14ac:dyDescent="0.35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 x14ac:dyDescent="0.35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 x14ac:dyDescent="0.35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 x14ac:dyDescent="0.35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 x14ac:dyDescent="0.35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 x14ac:dyDescent="0.35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 x14ac:dyDescent="0.35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 x14ac:dyDescent="0.35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 x14ac:dyDescent="0.35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 x14ac:dyDescent="0.35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 x14ac:dyDescent="0.35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 x14ac:dyDescent="0.35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 x14ac:dyDescent="0.35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 x14ac:dyDescent="0.35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 x14ac:dyDescent="0.35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 x14ac:dyDescent="0.35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 x14ac:dyDescent="0.35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 x14ac:dyDescent="0.35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 x14ac:dyDescent="0.35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 x14ac:dyDescent="0.35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 x14ac:dyDescent="0.35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 x14ac:dyDescent="0.35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 x14ac:dyDescent="0.35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 x14ac:dyDescent="0.35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 x14ac:dyDescent="0.35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 x14ac:dyDescent="0.35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 x14ac:dyDescent="0.35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 x14ac:dyDescent="0.35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 x14ac:dyDescent="0.35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 x14ac:dyDescent="0.35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 x14ac:dyDescent="0.35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 x14ac:dyDescent="0.35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 x14ac:dyDescent="0.35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 x14ac:dyDescent="0.35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 x14ac:dyDescent="0.35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 x14ac:dyDescent="0.35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 x14ac:dyDescent="0.35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 x14ac:dyDescent="0.35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 x14ac:dyDescent="0.35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 x14ac:dyDescent="0.35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 x14ac:dyDescent="0.35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 x14ac:dyDescent="0.35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 x14ac:dyDescent="0.35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 x14ac:dyDescent="0.35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 x14ac:dyDescent="0.35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 x14ac:dyDescent="0.35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 x14ac:dyDescent="0.35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 x14ac:dyDescent="0.35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 x14ac:dyDescent="0.35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 x14ac:dyDescent="0.35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 x14ac:dyDescent="0.35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 x14ac:dyDescent="0.35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 x14ac:dyDescent="0.35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 x14ac:dyDescent="0.35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 x14ac:dyDescent="0.35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 x14ac:dyDescent="0.35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 x14ac:dyDescent="0.35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 x14ac:dyDescent="0.35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 x14ac:dyDescent="0.35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 x14ac:dyDescent="0.35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 x14ac:dyDescent="0.35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 x14ac:dyDescent="0.35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 x14ac:dyDescent="0.35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 x14ac:dyDescent="0.35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 x14ac:dyDescent="0.35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 x14ac:dyDescent="0.35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 x14ac:dyDescent="0.35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 x14ac:dyDescent="0.35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 x14ac:dyDescent="0.35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 x14ac:dyDescent="0.35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 x14ac:dyDescent="0.35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 x14ac:dyDescent="0.35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 x14ac:dyDescent="0.35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 x14ac:dyDescent="0.35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 x14ac:dyDescent="0.35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 x14ac:dyDescent="0.35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 x14ac:dyDescent="0.35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 x14ac:dyDescent="0.35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 x14ac:dyDescent="0.35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 x14ac:dyDescent="0.35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 x14ac:dyDescent="0.35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 x14ac:dyDescent="0.35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 x14ac:dyDescent="0.35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 x14ac:dyDescent="0.35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 x14ac:dyDescent="0.35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 x14ac:dyDescent="0.35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 x14ac:dyDescent="0.35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 x14ac:dyDescent="0.35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 x14ac:dyDescent="0.35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 x14ac:dyDescent="0.35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 x14ac:dyDescent="0.35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 x14ac:dyDescent="0.35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 x14ac:dyDescent="0.35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 x14ac:dyDescent="0.35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 x14ac:dyDescent="0.35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 x14ac:dyDescent="0.35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 x14ac:dyDescent="0.35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 x14ac:dyDescent="0.35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 x14ac:dyDescent="0.35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 x14ac:dyDescent="0.35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 x14ac:dyDescent="0.35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 x14ac:dyDescent="0.35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 x14ac:dyDescent="0.35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 x14ac:dyDescent="0.35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 x14ac:dyDescent="0.35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 x14ac:dyDescent="0.35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 x14ac:dyDescent="0.35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 x14ac:dyDescent="0.35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 x14ac:dyDescent="0.35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 x14ac:dyDescent="0.35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 x14ac:dyDescent="0.35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 x14ac:dyDescent="0.35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 x14ac:dyDescent="0.35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 x14ac:dyDescent="0.35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 x14ac:dyDescent="0.35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 x14ac:dyDescent="0.35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 x14ac:dyDescent="0.35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 x14ac:dyDescent="0.35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 x14ac:dyDescent="0.35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 x14ac:dyDescent="0.35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 x14ac:dyDescent="0.35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 x14ac:dyDescent="0.35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 x14ac:dyDescent="0.35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 x14ac:dyDescent="0.35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 x14ac:dyDescent="0.35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 x14ac:dyDescent="0.35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 x14ac:dyDescent="0.35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 x14ac:dyDescent="0.35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 x14ac:dyDescent="0.35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 x14ac:dyDescent="0.35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 x14ac:dyDescent="0.35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 x14ac:dyDescent="0.35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 x14ac:dyDescent="0.35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 x14ac:dyDescent="0.35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 x14ac:dyDescent="0.35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 x14ac:dyDescent="0.35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 x14ac:dyDescent="0.35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 x14ac:dyDescent="0.35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 x14ac:dyDescent="0.35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 x14ac:dyDescent="0.35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 x14ac:dyDescent="0.35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 x14ac:dyDescent="0.35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 x14ac:dyDescent="0.35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 x14ac:dyDescent="0.35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 x14ac:dyDescent="0.35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 x14ac:dyDescent="0.35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 x14ac:dyDescent="0.35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 x14ac:dyDescent="0.35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 x14ac:dyDescent="0.35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 x14ac:dyDescent="0.35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 x14ac:dyDescent="0.35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 x14ac:dyDescent="0.35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 x14ac:dyDescent="0.35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 x14ac:dyDescent="0.35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 x14ac:dyDescent="0.35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 x14ac:dyDescent="0.35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 x14ac:dyDescent="0.35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 x14ac:dyDescent="0.35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 x14ac:dyDescent="0.35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 x14ac:dyDescent="0.35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 x14ac:dyDescent="0.35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 x14ac:dyDescent="0.35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 x14ac:dyDescent="0.35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 x14ac:dyDescent="0.35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 x14ac:dyDescent="0.35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 x14ac:dyDescent="0.35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 x14ac:dyDescent="0.35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 x14ac:dyDescent="0.35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 x14ac:dyDescent="0.35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 x14ac:dyDescent="0.35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 x14ac:dyDescent="0.35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 x14ac:dyDescent="0.35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 x14ac:dyDescent="0.35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 x14ac:dyDescent="0.35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 x14ac:dyDescent="0.35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 x14ac:dyDescent="0.35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 x14ac:dyDescent="0.35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 x14ac:dyDescent="0.35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 x14ac:dyDescent="0.35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 x14ac:dyDescent="0.35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 x14ac:dyDescent="0.35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 x14ac:dyDescent="0.35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 x14ac:dyDescent="0.35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 x14ac:dyDescent="0.35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 x14ac:dyDescent="0.35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 x14ac:dyDescent="0.35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 x14ac:dyDescent="0.35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 x14ac:dyDescent="0.35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 x14ac:dyDescent="0.35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 x14ac:dyDescent="0.35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 x14ac:dyDescent="0.35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 x14ac:dyDescent="0.35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 x14ac:dyDescent="0.35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 x14ac:dyDescent="0.35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 x14ac:dyDescent="0.35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 x14ac:dyDescent="0.35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 x14ac:dyDescent="0.35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 x14ac:dyDescent="0.35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 x14ac:dyDescent="0.35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 x14ac:dyDescent="0.35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 x14ac:dyDescent="0.35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 x14ac:dyDescent="0.35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 x14ac:dyDescent="0.35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 x14ac:dyDescent="0.35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 x14ac:dyDescent="0.35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 x14ac:dyDescent="0.35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 x14ac:dyDescent="0.35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 x14ac:dyDescent="0.35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 x14ac:dyDescent="0.35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 x14ac:dyDescent="0.35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 x14ac:dyDescent="0.35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 x14ac:dyDescent="0.35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 x14ac:dyDescent="0.35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 x14ac:dyDescent="0.35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 x14ac:dyDescent="0.35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 x14ac:dyDescent="0.35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 x14ac:dyDescent="0.35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 x14ac:dyDescent="0.35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 x14ac:dyDescent="0.35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 x14ac:dyDescent="0.35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 x14ac:dyDescent="0.35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 x14ac:dyDescent="0.35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 x14ac:dyDescent="0.35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 x14ac:dyDescent="0.35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 x14ac:dyDescent="0.35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 x14ac:dyDescent="0.35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 x14ac:dyDescent="0.35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 x14ac:dyDescent="0.35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 x14ac:dyDescent="0.35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 x14ac:dyDescent="0.35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 x14ac:dyDescent="0.35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 x14ac:dyDescent="0.35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 x14ac:dyDescent="0.35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 x14ac:dyDescent="0.35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 x14ac:dyDescent="0.35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 x14ac:dyDescent="0.35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 x14ac:dyDescent="0.35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 x14ac:dyDescent="0.35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 x14ac:dyDescent="0.35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 x14ac:dyDescent="0.35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 x14ac:dyDescent="0.35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 x14ac:dyDescent="0.35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 x14ac:dyDescent="0.35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 x14ac:dyDescent="0.35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 x14ac:dyDescent="0.35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 x14ac:dyDescent="0.35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 x14ac:dyDescent="0.35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 x14ac:dyDescent="0.35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 x14ac:dyDescent="0.35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 x14ac:dyDescent="0.35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 x14ac:dyDescent="0.35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 x14ac:dyDescent="0.35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 x14ac:dyDescent="0.35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 x14ac:dyDescent="0.35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 x14ac:dyDescent="0.35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 x14ac:dyDescent="0.35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 x14ac:dyDescent="0.35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 x14ac:dyDescent="0.35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 x14ac:dyDescent="0.35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 x14ac:dyDescent="0.35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 x14ac:dyDescent="0.35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 x14ac:dyDescent="0.35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 x14ac:dyDescent="0.35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 x14ac:dyDescent="0.35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 x14ac:dyDescent="0.35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 x14ac:dyDescent="0.35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 x14ac:dyDescent="0.35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 x14ac:dyDescent="0.35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 x14ac:dyDescent="0.35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 x14ac:dyDescent="0.35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 x14ac:dyDescent="0.35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 x14ac:dyDescent="0.35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 x14ac:dyDescent="0.35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 x14ac:dyDescent="0.35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 x14ac:dyDescent="0.35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 x14ac:dyDescent="0.35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 x14ac:dyDescent="0.35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 x14ac:dyDescent="0.35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 x14ac:dyDescent="0.35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 x14ac:dyDescent="0.35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 x14ac:dyDescent="0.35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 x14ac:dyDescent="0.35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 x14ac:dyDescent="0.35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 x14ac:dyDescent="0.35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 x14ac:dyDescent="0.35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 x14ac:dyDescent="0.35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 x14ac:dyDescent="0.35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 x14ac:dyDescent="0.35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 x14ac:dyDescent="0.35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 x14ac:dyDescent="0.35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 x14ac:dyDescent="0.35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 x14ac:dyDescent="0.35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 x14ac:dyDescent="0.35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 x14ac:dyDescent="0.35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 x14ac:dyDescent="0.35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 x14ac:dyDescent="0.35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 x14ac:dyDescent="0.35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 x14ac:dyDescent="0.35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 x14ac:dyDescent="0.35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 x14ac:dyDescent="0.35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 x14ac:dyDescent="0.35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 x14ac:dyDescent="0.35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 x14ac:dyDescent="0.35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 x14ac:dyDescent="0.35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 x14ac:dyDescent="0.35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 x14ac:dyDescent="0.35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 x14ac:dyDescent="0.35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 x14ac:dyDescent="0.35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 x14ac:dyDescent="0.35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 x14ac:dyDescent="0.35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 x14ac:dyDescent="0.35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 x14ac:dyDescent="0.35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 x14ac:dyDescent="0.35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 x14ac:dyDescent="0.35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 x14ac:dyDescent="0.35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 x14ac:dyDescent="0.35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 x14ac:dyDescent="0.35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 x14ac:dyDescent="0.35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 x14ac:dyDescent="0.35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 x14ac:dyDescent="0.35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 x14ac:dyDescent="0.35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 x14ac:dyDescent="0.35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 x14ac:dyDescent="0.35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 x14ac:dyDescent="0.35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 x14ac:dyDescent="0.35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 x14ac:dyDescent="0.35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 x14ac:dyDescent="0.35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 x14ac:dyDescent="0.35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 x14ac:dyDescent="0.35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 x14ac:dyDescent="0.35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 x14ac:dyDescent="0.35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 x14ac:dyDescent="0.35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 x14ac:dyDescent="0.35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 x14ac:dyDescent="0.35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 x14ac:dyDescent="0.35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 x14ac:dyDescent="0.35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 x14ac:dyDescent="0.35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 x14ac:dyDescent="0.35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 x14ac:dyDescent="0.35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 x14ac:dyDescent="0.35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 x14ac:dyDescent="0.35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 x14ac:dyDescent="0.35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 x14ac:dyDescent="0.35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 x14ac:dyDescent="0.35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 x14ac:dyDescent="0.35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 x14ac:dyDescent="0.35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 x14ac:dyDescent="0.35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 x14ac:dyDescent="0.35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 x14ac:dyDescent="0.35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 x14ac:dyDescent="0.35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 x14ac:dyDescent="0.35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 x14ac:dyDescent="0.35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 x14ac:dyDescent="0.35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 x14ac:dyDescent="0.35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 x14ac:dyDescent="0.35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 x14ac:dyDescent="0.35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 x14ac:dyDescent="0.35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 x14ac:dyDescent="0.35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 x14ac:dyDescent="0.35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 x14ac:dyDescent="0.35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 x14ac:dyDescent="0.35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 x14ac:dyDescent="0.35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 x14ac:dyDescent="0.35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 x14ac:dyDescent="0.35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 x14ac:dyDescent="0.35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 x14ac:dyDescent="0.35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 x14ac:dyDescent="0.35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 x14ac:dyDescent="0.35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 x14ac:dyDescent="0.35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 x14ac:dyDescent="0.35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 x14ac:dyDescent="0.35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 x14ac:dyDescent="0.35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 x14ac:dyDescent="0.35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 x14ac:dyDescent="0.35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 x14ac:dyDescent="0.35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 x14ac:dyDescent="0.35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 x14ac:dyDescent="0.35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 x14ac:dyDescent="0.35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 x14ac:dyDescent="0.35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 x14ac:dyDescent="0.35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 x14ac:dyDescent="0.35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 x14ac:dyDescent="0.35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 x14ac:dyDescent="0.35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 x14ac:dyDescent="0.35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 x14ac:dyDescent="0.35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 x14ac:dyDescent="0.35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 x14ac:dyDescent="0.35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 x14ac:dyDescent="0.35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 x14ac:dyDescent="0.35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 x14ac:dyDescent="0.35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 x14ac:dyDescent="0.35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 x14ac:dyDescent="0.35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 x14ac:dyDescent="0.35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 x14ac:dyDescent="0.35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 x14ac:dyDescent="0.35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 x14ac:dyDescent="0.35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 x14ac:dyDescent="0.35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 x14ac:dyDescent="0.35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 x14ac:dyDescent="0.35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 x14ac:dyDescent="0.35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 x14ac:dyDescent="0.35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 x14ac:dyDescent="0.35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 x14ac:dyDescent="0.35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 x14ac:dyDescent="0.35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 x14ac:dyDescent="0.35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 x14ac:dyDescent="0.35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 x14ac:dyDescent="0.35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 x14ac:dyDescent="0.35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 x14ac:dyDescent="0.35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 x14ac:dyDescent="0.35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 x14ac:dyDescent="0.35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 x14ac:dyDescent="0.35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 x14ac:dyDescent="0.35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 x14ac:dyDescent="0.35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 x14ac:dyDescent="0.35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 x14ac:dyDescent="0.35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 x14ac:dyDescent="0.35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 x14ac:dyDescent="0.35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 x14ac:dyDescent="0.35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 x14ac:dyDescent="0.35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 x14ac:dyDescent="0.35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 x14ac:dyDescent="0.35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 x14ac:dyDescent="0.35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 x14ac:dyDescent="0.35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 x14ac:dyDescent="0.35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 x14ac:dyDescent="0.35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 x14ac:dyDescent="0.35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 x14ac:dyDescent="0.35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 x14ac:dyDescent="0.35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 x14ac:dyDescent="0.35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 x14ac:dyDescent="0.35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 x14ac:dyDescent="0.35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 x14ac:dyDescent="0.35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 x14ac:dyDescent="0.35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 x14ac:dyDescent="0.35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 x14ac:dyDescent="0.35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 x14ac:dyDescent="0.35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 x14ac:dyDescent="0.35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 x14ac:dyDescent="0.35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 x14ac:dyDescent="0.35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 x14ac:dyDescent="0.35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 x14ac:dyDescent="0.35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 x14ac:dyDescent="0.35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 x14ac:dyDescent="0.35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 x14ac:dyDescent="0.35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 x14ac:dyDescent="0.35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 x14ac:dyDescent="0.35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 x14ac:dyDescent="0.35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 x14ac:dyDescent="0.35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 x14ac:dyDescent="0.35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 x14ac:dyDescent="0.35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 x14ac:dyDescent="0.35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 x14ac:dyDescent="0.35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 x14ac:dyDescent="0.35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 x14ac:dyDescent="0.35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 x14ac:dyDescent="0.35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 x14ac:dyDescent="0.35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 x14ac:dyDescent="0.35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 x14ac:dyDescent="0.35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 x14ac:dyDescent="0.35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 x14ac:dyDescent="0.35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 x14ac:dyDescent="0.35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 x14ac:dyDescent="0.35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 x14ac:dyDescent="0.35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 x14ac:dyDescent="0.35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 x14ac:dyDescent="0.35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 x14ac:dyDescent="0.35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 x14ac:dyDescent="0.35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 x14ac:dyDescent="0.35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 x14ac:dyDescent="0.35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 x14ac:dyDescent="0.35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 x14ac:dyDescent="0.35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 x14ac:dyDescent="0.35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 x14ac:dyDescent="0.35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 x14ac:dyDescent="0.35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 x14ac:dyDescent="0.35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 x14ac:dyDescent="0.35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 x14ac:dyDescent="0.35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 x14ac:dyDescent="0.35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 x14ac:dyDescent="0.35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 x14ac:dyDescent="0.35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 x14ac:dyDescent="0.35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 x14ac:dyDescent="0.35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 x14ac:dyDescent="0.35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 x14ac:dyDescent="0.35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 x14ac:dyDescent="0.35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 x14ac:dyDescent="0.35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 x14ac:dyDescent="0.35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 x14ac:dyDescent="0.35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 x14ac:dyDescent="0.35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 x14ac:dyDescent="0.35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 x14ac:dyDescent="0.35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 x14ac:dyDescent="0.35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 x14ac:dyDescent="0.35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 x14ac:dyDescent="0.35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 x14ac:dyDescent="0.35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 x14ac:dyDescent="0.35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 x14ac:dyDescent="0.35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 x14ac:dyDescent="0.35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 x14ac:dyDescent="0.35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 x14ac:dyDescent="0.35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 x14ac:dyDescent="0.35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 x14ac:dyDescent="0.35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 x14ac:dyDescent="0.35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 x14ac:dyDescent="0.35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 x14ac:dyDescent="0.35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 x14ac:dyDescent="0.35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 x14ac:dyDescent="0.35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 x14ac:dyDescent="0.35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 x14ac:dyDescent="0.35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 x14ac:dyDescent="0.35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 x14ac:dyDescent="0.35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 x14ac:dyDescent="0.35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 x14ac:dyDescent="0.35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 x14ac:dyDescent="0.35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 x14ac:dyDescent="0.35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 x14ac:dyDescent="0.35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 x14ac:dyDescent="0.35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 x14ac:dyDescent="0.35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 x14ac:dyDescent="0.35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 x14ac:dyDescent="0.35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 x14ac:dyDescent="0.35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 x14ac:dyDescent="0.35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 x14ac:dyDescent="0.35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 x14ac:dyDescent="0.35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 x14ac:dyDescent="0.35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 x14ac:dyDescent="0.35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 x14ac:dyDescent="0.35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 x14ac:dyDescent="0.35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 x14ac:dyDescent="0.35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 x14ac:dyDescent="0.35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 x14ac:dyDescent="0.35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 x14ac:dyDescent="0.35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 x14ac:dyDescent="0.35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 x14ac:dyDescent="0.35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 x14ac:dyDescent="0.35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 x14ac:dyDescent="0.35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 x14ac:dyDescent="0.35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 x14ac:dyDescent="0.35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 x14ac:dyDescent="0.35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 x14ac:dyDescent="0.35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 x14ac:dyDescent="0.35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 x14ac:dyDescent="0.35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 x14ac:dyDescent="0.35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 x14ac:dyDescent="0.35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 x14ac:dyDescent="0.35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 x14ac:dyDescent="0.35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 x14ac:dyDescent="0.35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 x14ac:dyDescent="0.35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 x14ac:dyDescent="0.35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 x14ac:dyDescent="0.35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 x14ac:dyDescent="0.35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 x14ac:dyDescent="0.35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 x14ac:dyDescent="0.35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 x14ac:dyDescent="0.35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 x14ac:dyDescent="0.35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 x14ac:dyDescent="0.35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 x14ac:dyDescent="0.35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 x14ac:dyDescent="0.35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 x14ac:dyDescent="0.35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 x14ac:dyDescent="0.35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 x14ac:dyDescent="0.35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 x14ac:dyDescent="0.35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 x14ac:dyDescent="0.35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 x14ac:dyDescent="0.35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 x14ac:dyDescent="0.35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 x14ac:dyDescent="0.35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 x14ac:dyDescent="0.35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 x14ac:dyDescent="0.35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 x14ac:dyDescent="0.35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 x14ac:dyDescent="0.35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 x14ac:dyDescent="0.35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 x14ac:dyDescent="0.35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 x14ac:dyDescent="0.35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 x14ac:dyDescent="0.35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 x14ac:dyDescent="0.35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 x14ac:dyDescent="0.35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 x14ac:dyDescent="0.35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 x14ac:dyDescent="0.35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 x14ac:dyDescent="0.35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 x14ac:dyDescent="0.35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 x14ac:dyDescent="0.35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 x14ac:dyDescent="0.35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 x14ac:dyDescent="0.35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 x14ac:dyDescent="0.35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 x14ac:dyDescent="0.35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 x14ac:dyDescent="0.35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 x14ac:dyDescent="0.35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 x14ac:dyDescent="0.35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 x14ac:dyDescent="0.35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 x14ac:dyDescent="0.35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 x14ac:dyDescent="0.35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 x14ac:dyDescent="0.35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 x14ac:dyDescent="0.35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 x14ac:dyDescent="0.35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 x14ac:dyDescent="0.35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 x14ac:dyDescent="0.35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 x14ac:dyDescent="0.35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 x14ac:dyDescent="0.35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 x14ac:dyDescent="0.35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 x14ac:dyDescent="0.35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 x14ac:dyDescent="0.35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 x14ac:dyDescent="0.35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 x14ac:dyDescent="0.35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 x14ac:dyDescent="0.35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 x14ac:dyDescent="0.35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 x14ac:dyDescent="0.35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 x14ac:dyDescent="0.35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 x14ac:dyDescent="0.35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 x14ac:dyDescent="0.35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 x14ac:dyDescent="0.35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 x14ac:dyDescent="0.35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 x14ac:dyDescent="0.35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 x14ac:dyDescent="0.35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 x14ac:dyDescent="0.35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 x14ac:dyDescent="0.35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 x14ac:dyDescent="0.35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 x14ac:dyDescent="0.35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 x14ac:dyDescent="0.35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 x14ac:dyDescent="0.35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 x14ac:dyDescent="0.35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 x14ac:dyDescent="0.35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 x14ac:dyDescent="0.35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 x14ac:dyDescent="0.35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 x14ac:dyDescent="0.35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 x14ac:dyDescent="0.35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 x14ac:dyDescent="0.35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 x14ac:dyDescent="0.35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 x14ac:dyDescent="0.35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 x14ac:dyDescent="0.35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 x14ac:dyDescent="0.35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 x14ac:dyDescent="0.35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 x14ac:dyDescent="0.35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 x14ac:dyDescent="0.35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 x14ac:dyDescent="0.35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 x14ac:dyDescent="0.35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 x14ac:dyDescent="0.35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 x14ac:dyDescent="0.35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 x14ac:dyDescent="0.35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 x14ac:dyDescent="0.35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 x14ac:dyDescent="0.35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 x14ac:dyDescent="0.35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 x14ac:dyDescent="0.35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 x14ac:dyDescent="0.35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 x14ac:dyDescent="0.35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 x14ac:dyDescent="0.35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 x14ac:dyDescent="0.35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 x14ac:dyDescent="0.35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 x14ac:dyDescent="0.35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 x14ac:dyDescent="0.35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 x14ac:dyDescent="0.35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 x14ac:dyDescent="0.35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 x14ac:dyDescent="0.35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 x14ac:dyDescent="0.35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 x14ac:dyDescent="0.35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 x14ac:dyDescent="0.35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 x14ac:dyDescent="0.35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 x14ac:dyDescent="0.35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 x14ac:dyDescent="0.35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 x14ac:dyDescent="0.35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 x14ac:dyDescent="0.35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 x14ac:dyDescent="0.35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 x14ac:dyDescent="0.35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 x14ac:dyDescent="0.35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 x14ac:dyDescent="0.35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 x14ac:dyDescent="0.35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 x14ac:dyDescent="0.35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 x14ac:dyDescent="0.35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 x14ac:dyDescent="0.35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 x14ac:dyDescent="0.35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 x14ac:dyDescent="0.35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 x14ac:dyDescent="0.35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 x14ac:dyDescent="0.35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 x14ac:dyDescent="0.35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 x14ac:dyDescent="0.35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 x14ac:dyDescent="0.35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 x14ac:dyDescent="0.35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 x14ac:dyDescent="0.35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 x14ac:dyDescent="0.35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 x14ac:dyDescent="0.35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 x14ac:dyDescent="0.35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 x14ac:dyDescent="0.35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 x14ac:dyDescent="0.35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 x14ac:dyDescent="0.35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 x14ac:dyDescent="0.35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 x14ac:dyDescent="0.35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 x14ac:dyDescent="0.35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 x14ac:dyDescent="0.35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 x14ac:dyDescent="0.35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 x14ac:dyDescent="0.35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 x14ac:dyDescent="0.35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 x14ac:dyDescent="0.35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 x14ac:dyDescent="0.35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 x14ac:dyDescent="0.35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 x14ac:dyDescent="0.35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 x14ac:dyDescent="0.35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 x14ac:dyDescent="0.35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 x14ac:dyDescent="0.35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 x14ac:dyDescent="0.35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 x14ac:dyDescent="0.35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 x14ac:dyDescent="0.35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 x14ac:dyDescent="0.35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 x14ac:dyDescent="0.35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 x14ac:dyDescent="0.35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 x14ac:dyDescent="0.35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 x14ac:dyDescent="0.35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 x14ac:dyDescent="0.35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 x14ac:dyDescent="0.35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 x14ac:dyDescent="0.35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 x14ac:dyDescent="0.35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 x14ac:dyDescent="0.35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 x14ac:dyDescent="0.35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 x14ac:dyDescent="0.35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 x14ac:dyDescent="0.35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 x14ac:dyDescent="0.35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 x14ac:dyDescent="0.35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 x14ac:dyDescent="0.35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 x14ac:dyDescent="0.35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 x14ac:dyDescent="0.35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 x14ac:dyDescent="0.35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 x14ac:dyDescent="0.35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 x14ac:dyDescent="0.35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 x14ac:dyDescent="0.35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 x14ac:dyDescent="0.35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 x14ac:dyDescent="0.35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 x14ac:dyDescent="0.35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 x14ac:dyDescent="0.35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 x14ac:dyDescent="0.35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 x14ac:dyDescent="0.35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 x14ac:dyDescent="0.35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 x14ac:dyDescent="0.35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 x14ac:dyDescent="0.35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 x14ac:dyDescent="0.35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 x14ac:dyDescent="0.35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 x14ac:dyDescent="0.35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 x14ac:dyDescent="0.35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 x14ac:dyDescent="0.35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 x14ac:dyDescent="0.35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 x14ac:dyDescent="0.35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 x14ac:dyDescent="0.35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 x14ac:dyDescent="0.35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 x14ac:dyDescent="0.35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 x14ac:dyDescent="0.35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 x14ac:dyDescent="0.35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 x14ac:dyDescent="0.35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 x14ac:dyDescent="0.35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 x14ac:dyDescent="0.35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 x14ac:dyDescent="0.35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 x14ac:dyDescent="0.35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 x14ac:dyDescent="0.35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 x14ac:dyDescent="0.35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 x14ac:dyDescent="0.35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 x14ac:dyDescent="0.35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 x14ac:dyDescent="0.35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 x14ac:dyDescent="0.35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 x14ac:dyDescent="0.35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 x14ac:dyDescent="0.35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 x14ac:dyDescent="0.35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 x14ac:dyDescent="0.35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 x14ac:dyDescent="0.35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 x14ac:dyDescent="0.35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 x14ac:dyDescent="0.35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 x14ac:dyDescent="0.35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 x14ac:dyDescent="0.35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 x14ac:dyDescent="0.35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 x14ac:dyDescent="0.35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 x14ac:dyDescent="0.35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 x14ac:dyDescent="0.35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 x14ac:dyDescent="0.35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 x14ac:dyDescent="0.35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 x14ac:dyDescent="0.35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 x14ac:dyDescent="0.35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 x14ac:dyDescent="0.35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 x14ac:dyDescent="0.35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 x14ac:dyDescent="0.35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 x14ac:dyDescent="0.35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 x14ac:dyDescent="0.35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 x14ac:dyDescent="0.35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 x14ac:dyDescent="0.35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 x14ac:dyDescent="0.35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 x14ac:dyDescent="0.35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 x14ac:dyDescent="0.35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 x14ac:dyDescent="0.35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 x14ac:dyDescent="0.35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 x14ac:dyDescent="0.35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 x14ac:dyDescent="0.35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 x14ac:dyDescent="0.35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 x14ac:dyDescent="0.35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 x14ac:dyDescent="0.35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 x14ac:dyDescent="0.35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 x14ac:dyDescent="0.35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 x14ac:dyDescent="0.35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 x14ac:dyDescent="0.35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 x14ac:dyDescent="0.35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 x14ac:dyDescent="0.35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 x14ac:dyDescent="0.35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 x14ac:dyDescent="0.35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 x14ac:dyDescent="0.35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 x14ac:dyDescent="0.35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 x14ac:dyDescent="0.35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 x14ac:dyDescent="0.35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 x14ac:dyDescent="0.35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 x14ac:dyDescent="0.35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 x14ac:dyDescent="0.35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 x14ac:dyDescent="0.35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 x14ac:dyDescent="0.35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 x14ac:dyDescent="0.35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 x14ac:dyDescent="0.35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 x14ac:dyDescent="0.35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 x14ac:dyDescent="0.35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 x14ac:dyDescent="0.35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 x14ac:dyDescent="0.35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 x14ac:dyDescent="0.35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 x14ac:dyDescent="0.35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 x14ac:dyDescent="0.35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 x14ac:dyDescent="0.35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 x14ac:dyDescent="0.35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 x14ac:dyDescent="0.35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 x14ac:dyDescent="0.35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 x14ac:dyDescent="0.35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 x14ac:dyDescent="0.35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 x14ac:dyDescent="0.35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 x14ac:dyDescent="0.35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 x14ac:dyDescent="0.35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 x14ac:dyDescent="0.35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 x14ac:dyDescent="0.35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 x14ac:dyDescent="0.35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 x14ac:dyDescent="0.35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 x14ac:dyDescent="0.35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 x14ac:dyDescent="0.35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 x14ac:dyDescent="0.35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 x14ac:dyDescent="0.35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 x14ac:dyDescent="0.35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 x14ac:dyDescent="0.35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 x14ac:dyDescent="0.35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 x14ac:dyDescent="0.35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 x14ac:dyDescent="0.35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 x14ac:dyDescent="0.35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 x14ac:dyDescent="0.35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 x14ac:dyDescent="0.35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 x14ac:dyDescent="0.35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 x14ac:dyDescent="0.35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 x14ac:dyDescent="0.35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 x14ac:dyDescent="0.35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 x14ac:dyDescent="0.35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 x14ac:dyDescent="0.35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 x14ac:dyDescent="0.35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 x14ac:dyDescent="0.35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 x14ac:dyDescent="0.35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 x14ac:dyDescent="0.35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 x14ac:dyDescent="0.35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 x14ac:dyDescent="0.35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 x14ac:dyDescent="0.35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 x14ac:dyDescent="0.35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 x14ac:dyDescent="0.35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 x14ac:dyDescent="0.35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 x14ac:dyDescent="0.35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 x14ac:dyDescent="0.35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 x14ac:dyDescent="0.35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 x14ac:dyDescent="0.35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 x14ac:dyDescent="0.35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 x14ac:dyDescent="0.35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 x14ac:dyDescent="0.35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 x14ac:dyDescent="0.35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 x14ac:dyDescent="0.35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 x14ac:dyDescent="0.35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 x14ac:dyDescent="0.35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 x14ac:dyDescent="0.35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 x14ac:dyDescent="0.35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 x14ac:dyDescent="0.35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 x14ac:dyDescent="0.35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 x14ac:dyDescent="0.35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 x14ac:dyDescent="0.35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 x14ac:dyDescent="0.35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 x14ac:dyDescent="0.35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 x14ac:dyDescent="0.35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 x14ac:dyDescent="0.35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 x14ac:dyDescent="0.35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 x14ac:dyDescent="0.35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 x14ac:dyDescent="0.35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 x14ac:dyDescent="0.35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 x14ac:dyDescent="0.35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 x14ac:dyDescent="0.35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 x14ac:dyDescent="0.35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 x14ac:dyDescent="0.35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 x14ac:dyDescent="0.35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 x14ac:dyDescent="0.35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 x14ac:dyDescent="0.35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 x14ac:dyDescent="0.35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 x14ac:dyDescent="0.35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 x14ac:dyDescent="0.35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 x14ac:dyDescent="0.35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 x14ac:dyDescent="0.35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 x14ac:dyDescent="0.35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 x14ac:dyDescent="0.35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 x14ac:dyDescent="0.35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 x14ac:dyDescent="0.35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 x14ac:dyDescent="0.35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 x14ac:dyDescent="0.35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 x14ac:dyDescent="0.35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 x14ac:dyDescent="0.35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 x14ac:dyDescent="0.35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 x14ac:dyDescent="0.35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 x14ac:dyDescent="0.35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 x14ac:dyDescent="0.35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 x14ac:dyDescent="0.35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 x14ac:dyDescent="0.35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 x14ac:dyDescent="0.35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 x14ac:dyDescent="0.35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 x14ac:dyDescent="0.35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 x14ac:dyDescent="0.35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 x14ac:dyDescent="0.35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 x14ac:dyDescent="0.35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 x14ac:dyDescent="0.35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 x14ac:dyDescent="0.35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 x14ac:dyDescent="0.35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 x14ac:dyDescent="0.35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 x14ac:dyDescent="0.35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 x14ac:dyDescent="0.35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 x14ac:dyDescent="0.35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 x14ac:dyDescent="0.35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 x14ac:dyDescent="0.35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 x14ac:dyDescent="0.35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 x14ac:dyDescent="0.35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 x14ac:dyDescent="0.35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 x14ac:dyDescent="0.35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 x14ac:dyDescent="0.35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 x14ac:dyDescent="0.35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 x14ac:dyDescent="0.35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 x14ac:dyDescent="0.35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 x14ac:dyDescent="0.35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 x14ac:dyDescent="0.35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 x14ac:dyDescent="0.35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 x14ac:dyDescent="0.35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 x14ac:dyDescent="0.35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 x14ac:dyDescent="0.35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 x14ac:dyDescent="0.35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 x14ac:dyDescent="0.35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 x14ac:dyDescent="0.35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 x14ac:dyDescent="0.35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 x14ac:dyDescent="0.35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 x14ac:dyDescent="0.35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 x14ac:dyDescent="0.35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 x14ac:dyDescent="0.35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 x14ac:dyDescent="0.35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 x14ac:dyDescent="0.35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 x14ac:dyDescent="0.35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 x14ac:dyDescent="0.35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 x14ac:dyDescent="0.35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 x14ac:dyDescent="0.35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 x14ac:dyDescent="0.35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 x14ac:dyDescent="0.35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 x14ac:dyDescent="0.35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 x14ac:dyDescent="0.35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 x14ac:dyDescent="0.35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 x14ac:dyDescent="0.35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 x14ac:dyDescent="0.35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 x14ac:dyDescent="0.35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 x14ac:dyDescent="0.35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 x14ac:dyDescent="0.35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 x14ac:dyDescent="0.35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 x14ac:dyDescent="0.35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 x14ac:dyDescent="0.35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 x14ac:dyDescent="0.35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 x14ac:dyDescent="0.35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 x14ac:dyDescent="0.35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 x14ac:dyDescent="0.35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 x14ac:dyDescent="0.35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 x14ac:dyDescent="0.35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 x14ac:dyDescent="0.35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 x14ac:dyDescent="0.35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 x14ac:dyDescent="0.35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 x14ac:dyDescent="0.35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 x14ac:dyDescent="0.35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 x14ac:dyDescent="0.35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 x14ac:dyDescent="0.35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 x14ac:dyDescent="0.35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 x14ac:dyDescent="0.35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 x14ac:dyDescent="0.35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 x14ac:dyDescent="0.35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 x14ac:dyDescent="0.35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 x14ac:dyDescent="0.35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 x14ac:dyDescent="0.35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 x14ac:dyDescent="0.35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 x14ac:dyDescent="0.35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 x14ac:dyDescent="0.35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 x14ac:dyDescent="0.35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 x14ac:dyDescent="0.35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 x14ac:dyDescent="0.35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 x14ac:dyDescent="0.35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 x14ac:dyDescent="0.35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 x14ac:dyDescent="0.35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 x14ac:dyDescent="0.35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 x14ac:dyDescent="0.35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 x14ac:dyDescent="0.35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 x14ac:dyDescent="0.35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 x14ac:dyDescent="0.35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 x14ac:dyDescent="0.35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 x14ac:dyDescent="0.35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 x14ac:dyDescent="0.35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 x14ac:dyDescent="0.35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 x14ac:dyDescent="0.35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 x14ac:dyDescent="0.35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 x14ac:dyDescent="0.35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 x14ac:dyDescent="0.35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 x14ac:dyDescent="0.35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 x14ac:dyDescent="0.35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 x14ac:dyDescent="0.35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 x14ac:dyDescent="0.35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 x14ac:dyDescent="0.35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 x14ac:dyDescent="0.35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 x14ac:dyDescent="0.35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 x14ac:dyDescent="0.35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 x14ac:dyDescent="0.35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 x14ac:dyDescent="0.35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 x14ac:dyDescent="0.35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 x14ac:dyDescent="0.35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 x14ac:dyDescent="0.35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 x14ac:dyDescent="0.35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 x14ac:dyDescent="0.35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 x14ac:dyDescent="0.35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 x14ac:dyDescent="0.35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 x14ac:dyDescent="0.35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 x14ac:dyDescent="0.35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 x14ac:dyDescent="0.35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 x14ac:dyDescent="0.35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 x14ac:dyDescent="0.35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 x14ac:dyDescent="0.35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 x14ac:dyDescent="0.35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 x14ac:dyDescent="0.35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 x14ac:dyDescent="0.35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 x14ac:dyDescent="0.35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 x14ac:dyDescent="0.35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 x14ac:dyDescent="0.35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 x14ac:dyDescent="0.35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 x14ac:dyDescent="0.35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 x14ac:dyDescent="0.35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 x14ac:dyDescent="0.35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 x14ac:dyDescent="0.35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 x14ac:dyDescent="0.35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 x14ac:dyDescent="0.35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 x14ac:dyDescent="0.35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 x14ac:dyDescent="0.35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 x14ac:dyDescent="0.35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 x14ac:dyDescent="0.35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 x14ac:dyDescent="0.35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 x14ac:dyDescent="0.35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 x14ac:dyDescent="0.35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 x14ac:dyDescent="0.35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 x14ac:dyDescent="0.35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 x14ac:dyDescent="0.35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 x14ac:dyDescent="0.35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 x14ac:dyDescent="0.35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 x14ac:dyDescent="0.35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 x14ac:dyDescent="0.35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 x14ac:dyDescent="0.35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 x14ac:dyDescent="0.35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 x14ac:dyDescent="0.35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 x14ac:dyDescent="0.35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 x14ac:dyDescent="0.35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 x14ac:dyDescent="0.35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 x14ac:dyDescent="0.35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 x14ac:dyDescent="0.35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 x14ac:dyDescent="0.35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 x14ac:dyDescent="0.35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 x14ac:dyDescent="0.35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 x14ac:dyDescent="0.35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 x14ac:dyDescent="0.35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 x14ac:dyDescent="0.35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 x14ac:dyDescent="0.35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 x14ac:dyDescent="0.35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 x14ac:dyDescent="0.35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 x14ac:dyDescent="0.35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 x14ac:dyDescent="0.35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 x14ac:dyDescent="0.35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 x14ac:dyDescent="0.35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 x14ac:dyDescent="0.35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 x14ac:dyDescent="0.35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 x14ac:dyDescent="0.35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 x14ac:dyDescent="0.35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 x14ac:dyDescent="0.35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 x14ac:dyDescent="0.35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 x14ac:dyDescent="0.35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 x14ac:dyDescent="0.35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 x14ac:dyDescent="0.35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 x14ac:dyDescent="0.35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 x14ac:dyDescent="0.35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 x14ac:dyDescent="0.35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 x14ac:dyDescent="0.35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 x14ac:dyDescent="0.35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 x14ac:dyDescent="0.35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 x14ac:dyDescent="0.35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 x14ac:dyDescent="0.35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 x14ac:dyDescent="0.35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 x14ac:dyDescent="0.35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 x14ac:dyDescent="0.35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 x14ac:dyDescent="0.35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 x14ac:dyDescent="0.35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 x14ac:dyDescent="0.35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 x14ac:dyDescent="0.35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 x14ac:dyDescent="0.35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 x14ac:dyDescent="0.35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 x14ac:dyDescent="0.35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 x14ac:dyDescent="0.35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 x14ac:dyDescent="0.35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 x14ac:dyDescent="0.35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 x14ac:dyDescent="0.35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 x14ac:dyDescent="0.35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 x14ac:dyDescent="0.35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 x14ac:dyDescent="0.35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 x14ac:dyDescent="0.35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 x14ac:dyDescent="0.35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 x14ac:dyDescent="0.35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 x14ac:dyDescent="0.35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 x14ac:dyDescent="0.35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 x14ac:dyDescent="0.35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 x14ac:dyDescent="0.35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 x14ac:dyDescent="0.35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 x14ac:dyDescent="0.35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 x14ac:dyDescent="0.35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 x14ac:dyDescent="0.35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 x14ac:dyDescent="0.35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 x14ac:dyDescent="0.35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 x14ac:dyDescent="0.35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 x14ac:dyDescent="0.35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 x14ac:dyDescent="0.35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 x14ac:dyDescent="0.35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 x14ac:dyDescent="0.35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 x14ac:dyDescent="0.35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 x14ac:dyDescent="0.35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 x14ac:dyDescent="0.35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 x14ac:dyDescent="0.35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 x14ac:dyDescent="0.35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 x14ac:dyDescent="0.35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 x14ac:dyDescent="0.35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 x14ac:dyDescent="0.35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 x14ac:dyDescent="0.35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 x14ac:dyDescent="0.35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 x14ac:dyDescent="0.35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 x14ac:dyDescent="0.35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 x14ac:dyDescent="0.35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 x14ac:dyDescent="0.35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 x14ac:dyDescent="0.35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 x14ac:dyDescent="0.35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 x14ac:dyDescent="0.35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 x14ac:dyDescent="0.35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 x14ac:dyDescent="0.35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 x14ac:dyDescent="0.35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 x14ac:dyDescent="0.35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 x14ac:dyDescent="0.35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 x14ac:dyDescent="0.35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 x14ac:dyDescent="0.35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 x14ac:dyDescent="0.35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 x14ac:dyDescent="0.35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 x14ac:dyDescent="0.35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 x14ac:dyDescent="0.35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 x14ac:dyDescent="0.35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 x14ac:dyDescent="0.35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 x14ac:dyDescent="0.35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 x14ac:dyDescent="0.35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 x14ac:dyDescent="0.35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 x14ac:dyDescent="0.35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 x14ac:dyDescent="0.35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 x14ac:dyDescent="0.35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 x14ac:dyDescent="0.35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 x14ac:dyDescent="0.35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 x14ac:dyDescent="0.35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 x14ac:dyDescent="0.35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 x14ac:dyDescent="0.35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 x14ac:dyDescent="0.35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 x14ac:dyDescent="0.35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 x14ac:dyDescent="0.35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 x14ac:dyDescent="0.35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 x14ac:dyDescent="0.35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 x14ac:dyDescent="0.35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 x14ac:dyDescent="0.35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 x14ac:dyDescent="0.35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 x14ac:dyDescent="0.35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 x14ac:dyDescent="0.35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 x14ac:dyDescent="0.35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 x14ac:dyDescent="0.35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 x14ac:dyDescent="0.35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 x14ac:dyDescent="0.35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 x14ac:dyDescent="0.35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 x14ac:dyDescent="0.35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 x14ac:dyDescent="0.35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 x14ac:dyDescent="0.35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 x14ac:dyDescent="0.35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 x14ac:dyDescent="0.35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 x14ac:dyDescent="0.35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 x14ac:dyDescent="0.35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 x14ac:dyDescent="0.35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 x14ac:dyDescent="0.35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 x14ac:dyDescent="0.35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 x14ac:dyDescent="0.35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 x14ac:dyDescent="0.35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 x14ac:dyDescent="0.35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 x14ac:dyDescent="0.35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 x14ac:dyDescent="0.35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 x14ac:dyDescent="0.35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 x14ac:dyDescent="0.35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 x14ac:dyDescent="0.35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 x14ac:dyDescent="0.35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 x14ac:dyDescent="0.35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 x14ac:dyDescent="0.35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 x14ac:dyDescent="0.35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 x14ac:dyDescent="0.35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 x14ac:dyDescent="0.35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 x14ac:dyDescent="0.35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 x14ac:dyDescent="0.35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 x14ac:dyDescent="0.35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 x14ac:dyDescent="0.35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 x14ac:dyDescent="0.35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 x14ac:dyDescent="0.35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 x14ac:dyDescent="0.35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 x14ac:dyDescent="0.35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 x14ac:dyDescent="0.35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 x14ac:dyDescent="0.35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 x14ac:dyDescent="0.35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 x14ac:dyDescent="0.35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 x14ac:dyDescent="0.35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 x14ac:dyDescent="0.35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 x14ac:dyDescent="0.35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 x14ac:dyDescent="0.35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 x14ac:dyDescent="0.35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 x14ac:dyDescent="0.35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 x14ac:dyDescent="0.35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 x14ac:dyDescent="0.35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 x14ac:dyDescent="0.35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 x14ac:dyDescent="0.35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 x14ac:dyDescent="0.35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 x14ac:dyDescent="0.35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 x14ac:dyDescent="0.35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 x14ac:dyDescent="0.35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 x14ac:dyDescent="0.35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 x14ac:dyDescent="0.35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 x14ac:dyDescent="0.35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 x14ac:dyDescent="0.35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 x14ac:dyDescent="0.35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 x14ac:dyDescent="0.35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 x14ac:dyDescent="0.35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 x14ac:dyDescent="0.35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 x14ac:dyDescent="0.35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 x14ac:dyDescent="0.35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 x14ac:dyDescent="0.35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 x14ac:dyDescent="0.35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 x14ac:dyDescent="0.35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 x14ac:dyDescent="0.35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 x14ac:dyDescent="0.35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 x14ac:dyDescent="0.35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 x14ac:dyDescent="0.35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 x14ac:dyDescent="0.35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 x14ac:dyDescent="0.35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 x14ac:dyDescent="0.35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 x14ac:dyDescent="0.35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 x14ac:dyDescent="0.35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 x14ac:dyDescent="0.35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 x14ac:dyDescent="0.35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 x14ac:dyDescent="0.35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 x14ac:dyDescent="0.35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 x14ac:dyDescent="0.35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 x14ac:dyDescent="0.35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 x14ac:dyDescent="0.35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 x14ac:dyDescent="0.35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 x14ac:dyDescent="0.35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 x14ac:dyDescent="0.35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 x14ac:dyDescent="0.35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 x14ac:dyDescent="0.35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 x14ac:dyDescent="0.35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 x14ac:dyDescent="0.35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 x14ac:dyDescent="0.35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1EE-489A-4680-A049-223BE1A2437D}">
  <dimension ref="A1:AI1471"/>
  <sheetViews>
    <sheetView workbookViewId="0">
      <selection activeCell="A2" sqref="A2"/>
    </sheetView>
  </sheetViews>
  <sheetFormatPr defaultRowHeight="14.5" x14ac:dyDescent="0.35"/>
  <cols>
    <col min="2" max="2" width="10" customWidth="1"/>
    <col min="3" max="3" width="15.08984375" customWidth="1"/>
    <col min="4" max="4" width="10.7265625" customWidth="1"/>
    <col min="5" max="5" width="13.6328125" customWidth="1"/>
    <col min="6" max="6" width="19.36328125" customWidth="1"/>
    <col min="7" max="7" width="11.1796875" customWidth="1"/>
    <col min="8" max="8" width="15.08984375" customWidth="1"/>
    <col min="9" max="9" width="16.08984375" customWidth="1"/>
    <col min="10" max="10" width="17.81640625" customWidth="1"/>
    <col min="11" max="11" width="23.36328125" customWidth="1"/>
    <col min="12" max="12" width="9" customWidth="1"/>
    <col min="13" max="13" width="12.1796875" customWidth="1"/>
    <col min="14" max="14" width="16.08984375" customWidth="1"/>
    <col min="15" max="15" width="9.81640625" customWidth="1"/>
    <col min="16" max="16" width="9.26953125" customWidth="1"/>
    <col min="17" max="17" width="15.36328125" customWidth="1"/>
    <col min="18" max="18" width="14.1796875" customWidth="1"/>
    <col min="19" max="19" width="16.08984375" customWidth="1"/>
    <col min="20" max="20" width="13.7265625" customWidth="1"/>
    <col min="21" max="21" width="22.81640625" customWidth="1"/>
    <col min="22" max="22" width="8.81640625" customWidth="1"/>
    <col min="23" max="23" width="10.90625" customWidth="1"/>
    <col min="24" max="24" width="18" customWidth="1"/>
    <col min="25" max="25" width="18.90625" customWidth="1"/>
    <col min="26" max="26" width="22.90625" customWidth="1"/>
    <col min="27" max="27" width="15.453125" customWidth="1"/>
    <col min="28" max="28" width="17.36328125" customWidth="1"/>
    <col min="29" max="29" width="18.7265625" customWidth="1"/>
    <col min="30" max="30" width="21.54296875" customWidth="1"/>
    <col min="31" max="31" width="16.81640625" customWidth="1"/>
    <col min="32" max="32" width="17.1796875" customWidth="1"/>
    <col min="33" max="33" width="19.08984375" customWidth="1"/>
    <col min="34" max="34" width="24" customWidth="1"/>
    <col min="35" max="35" width="22.54296875" customWidth="1"/>
  </cols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35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35" x14ac:dyDescent="0.35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</row>
    <row r="4" spans="1:35" x14ac:dyDescent="0.35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</row>
    <row r="5" spans="1:35" x14ac:dyDescent="0.35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</row>
    <row r="6" spans="1:35" x14ac:dyDescent="0.35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</row>
    <row r="7" spans="1:35" x14ac:dyDescent="0.35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35" x14ac:dyDescent="0.35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35" x14ac:dyDescent="0.35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35" x14ac:dyDescent="0.35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35" x14ac:dyDescent="0.35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35" x14ac:dyDescent="0.35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35" x14ac:dyDescent="0.35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35" x14ac:dyDescent="0.35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35" x14ac:dyDescent="0.35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35" x14ac:dyDescent="0.35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 x14ac:dyDescent="0.35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 x14ac:dyDescent="0.35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 x14ac:dyDescent="0.35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 x14ac:dyDescent="0.35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 x14ac:dyDescent="0.35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 x14ac:dyDescent="0.35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 x14ac:dyDescent="0.35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 x14ac:dyDescent="0.35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 x14ac:dyDescent="0.35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 x14ac:dyDescent="0.35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 x14ac:dyDescent="0.35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 x14ac:dyDescent="0.35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 x14ac:dyDescent="0.35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 x14ac:dyDescent="0.35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 x14ac:dyDescent="0.35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 x14ac:dyDescent="0.35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 x14ac:dyDescent="0.35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 x14ac:dyDescent="0.35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 x14ac:dyDescent="0.35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 x14ac:dyDescent="0.35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 x14ac:dyDescent="0.35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 x14ac:dyDescent="0.35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 x14ac:dyDescent="0.35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 x14ac:dyDescent="0.35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 x14ac:dyDescent="0.35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 x14ac:dyDescent="0.35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 x14ac:dyDescent="0.35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 x14ac:dyDescent="0.35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 x14ac:dyDescent="0.35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 x14ac:dyDescent="0.35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 x14ac:dyDescent="0.35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 x14ac:dyDescent="0.35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 x14ac:dyDescent="0.35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 x14ac:dyDescent="0.35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 x14ac:dyDescent="0.35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 x14ac:dyDescent="0.35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 x14ac:dyDescent="0.35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 x14ac:dyDescent="0.35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 x14ac:dyDescent="0.35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 x14ac:dyDescent="0.35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 x14ac:dyDescent="0.35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 x14ac:dyDescent="0.35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 x14ac:dyDescent="0.35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 x14ac:dyDescent="0.35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 x14ac:dyDescent="0.35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 x14ac:dyDescent="0.35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 x14ac:dyDescent="0.35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 x14ac:dyDescent="0.35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 x14ac:dyDescent="0.35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 x14ac:dyDescent="0.35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 x14ac:dyDescent="0.35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 x14ac:dyDescent="0.35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 x14ac:dyDescent="0.35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 x14ac:dyDescent="0.35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 x14ac:dyDescent="0.35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 x14ac:dyDescent="0.35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 x14ac:dyDescent="0.35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 x14ac:dyDescent="0.35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 x14ac:dyDescent="0.35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 x14ac:dyDescent="0.35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 x14ac:dyDescent="0.35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 x14ac:dyDescent="0.35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 x14ac:dyDescent="0.35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 x14ac:dyDescent="0.35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 x14ac:dyDescent="0.35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 x14ac:dyDescent="0.35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 x14ac:dyDescent="0.35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 x14ac:dyDescent="0.35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 x14ac:dyDescent="0.35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 x14ac:dyDescent="0.35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 x14ac:dyDescent="0.35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 x14ac:dyDescent="0.35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 x14ac:dyDescent="0.35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 x14ac:dyDescent="0.35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 x14ac:dyDescent="0.35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 x14ac:dyDescent="0.35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 x14ac:dyDescent="0.35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 x14ac:dyDescent="0.35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 x14ac:dyDescent="0.35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 x14ac:dyDescent="0.35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 x14ac:dyDescent="0.35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 x14ac:dyDescent="0.35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 x14ac:dyDescent="0.35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 x14ac:dyDescent="0.35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 x14ac:dyDescent="0.35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 x14ac:dyDescent="0.35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 x14ac:dyDescent="0.35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 x14ac:dyDescent="0.35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 x14ac:dyDescent="0.35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 x14ac:dyDescent="0.35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 x14ac:dyDescent="0.35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 x14ac:dyDescent="0.35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 x14ac:dyDescent="0.35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 x14ac:dyDescent="0.35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 x14ac:dyDescent="0.35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 x14ac:dyDescent="0.35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 x14ac:dyDescent="0.35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 x14ac:dyDescent="0.35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 x14ac:dyDescent="0.35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 x14ac:dyDescent="0.35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 x14ac:dyDescent="0.35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 x14ac:dyDescent="0.35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 x14ac:dyDescent="0.35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 x14ac:dyDescent="0.35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 x14ac:dyDescent="0.35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 x14ac:dyDescent="0.35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 x14ac:dyDescent="0.35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 x14ac:dyDescent="0.35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 x14ac:dyDescent="0.35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 x14ac:dyDescent="0.35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 x14ac:dyDescent="0.35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 x14ac:dyDescent="0.35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 x14ac:dyDescent="0.35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 x14ac:dyDescent="0.35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 x14ac:dyDescent="0.35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 x14ac:dyDescent="0.35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 x14ac:dyDescent="0.35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 x14ac:dyDescent="0.35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 x14ac:dyDescent="0.35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 x14ac:dyDescent="0.35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 x14ac:dyDescent="0.35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 x14ac:dyDescent="0.35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 x14ac:dyDescent="0.35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 x14ac:dyDescent="0.35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 x14ac:dyDescent="0.35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 x14ac:dyDescent="0.35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 x14ac:dyDescent="0.35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 x14ac:dyDescent="0.35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 x14ac:dyDescent="0.35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 x14ac:dyDescent="0.35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 x14ac:dyDescent="0.35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 x14ac:dyDescent="0.35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 x14ac:dyDescent="0.35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 x14ac:dyDescent="0.35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 x14ac:dyDescent="0.35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 x14ac:dyDescent="0.35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 x14ac:dyDescent="0.35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 x14ac:dyDescent="0.35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 x14ac:dyDescent="0.35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 x14ac:dyDescent="0.35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 x14ac:dyDescent="0.35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 x14ac:dyDescent="0.35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 x14ac:dyDescent="0.35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 x14ac:dyDescent="0.35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 x14ac:dyDescent="0.35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 x14ac:dyDescent="0.35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 x14ac:dyDescent="0.35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 x14ac:dyDescent="0.35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 x14ac:dyDescent="0.35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 x14ac:dyDescent="0.35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 x14ac:dyDescent="0.35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 x14ac:dyDescent="0.35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 x14ac:dyDescent="0.35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 x14ac:dyDescent="0.35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 x14ac:dyDescent="0.35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 x14ac:dyDescent="0.35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 x14ac:dyDescent="0.35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 x14ac:dyDescent="0.35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 x14ac:dyDescent="0.35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 x14ac:dyDescent="0.35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 x14ac:dyDescent="0.35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 x14ac:dyDescent="0.35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 x14ac:dyDescent="0.35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 x14ac:dyDescent="0.35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 x14ac:dyDescent="0.35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 x14ac:dyDescent="0.35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 x14ac:dyDescent="0.35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 x14ac:dyDescent="0.35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 x14ac:dyDescent="0.35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 x14ac:dyDescent="0.35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 x14ac:dyDescent="0.35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 x14ac:dyDescent="0.35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 x14ac:dyDescent="0.35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 x14ac:dyDescent="0.35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 x14ac:dyDescent="0.35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 x14ac:dyDescent="0.35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 x14ac:dyDescent="0.35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 x14ac:dyDescent="0.35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 x14ac:dyDescent="0.35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 x14ac:dyDescent="0.35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 x14ac:dyDescent="0.35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 x14ac:dyDescent="0.35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 x14ac:dyDescent="0.35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 x14ac:dyDescent="0.35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 x14ac:dyDescent="0.35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 x14ac:dyDescent="0.35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 x14ac:dyDescent="0.35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 x14ac:dyDescent="0.35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 x14ac:dyDescent="0.35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 x14ac:dyDescent="0.35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 x14ac:dyDescent="0.35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 x14ac:dyDescent="0.35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 x14ac:dyDescent="0.35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 x14ac:dyDescent="0.35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 x14ac:dyDescent="0.35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 x14ac:dyDescent="0.35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 x14ac:dyDescent="0.35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 x14ac:dyDescent="0.35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 x14ac:dyDescent="0.35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 x14ac:dyDescent="0.35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 x14ac:dyDescent="0.35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 x14ac:dyDescent="0.35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 x14ac:dyDescent="0.35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 x14ac:dyDescent="0.35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 x14ac:dyDescent="0.35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 x14ac:dyDescent="0.35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 x14ac:dyDescent="0.35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 x14ac:dyDescent="0.35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 x14ac:dyDescent="0.35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 x14ac:dyDescent="0.35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 x14ac:dyDescent="0.35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 x14ac:dyDescent="0.35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 x14ac:dyDescent="0.35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 x14ac:dyDescent="0.35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 x14ac:dyDescent="0.35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 x14ac:dyDescent="0.35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 x14ac:dyDescent="0.35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 x14ac:dyDescent="0.35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 x14ac:dyDescent="0.35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 x14ac:dyDescent="0.35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 x14ac:dyDescent="0.35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 x14ac:dyDescent="0.35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 x14ac:dyDescent="0.35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 x14ac:dyDescent="0.35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 x14ac:dyDescent="0.35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 x14ac:dyDescent="0.35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 x14ac:dyDescent="0.35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 x14ac:dyDescent="0.35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 x14ac:dyDescent="0.35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 x14ac:dyDescent="0.35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 x14ac:dyDescent="0.35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 x14ac:dyDescent="0.35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 x14ac:dyDescent="0.35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 x14ac:dyDescent="0.35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 x14ac:dyDescent="0.35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 x14ac:dyDescent="0.35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 x14ac:dyDescent="0.35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 x14ac:dyDescent="0.35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 x14ac:dyDescent="0.35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 x14ac:dyDescent="0.35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 x14ac:dyDescent="0.35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 x14ac:dyDescent="0.35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 x14ac:dyDescent="0.35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 x14ac:dyDescent="0.35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 x14ac:dyDescent="0.35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 x14ac:dyDescent="0.35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 x14ac:dyDescent="0.35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 x14ac:dyDescent="0.35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 x14ac:dyDescent="0.35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 x14ac:dyDescent="0.35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 x14ac:dyDescent="0.35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 x14ac:dyDescent="0.35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 x14ac:dyDescent="0.35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 x14ac:dyDescent="0.35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 x14ac:dyDescent="0.35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 x14ac:dyDescent="0.35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 x14ac:dyDescent="0.35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 x14ac:dyDescent="0.35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 x14ac:dyDescent="0.35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 x14ac:dyDescent="0.35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 x14ac:dyDescent="0.35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 x14ac:dyDescent="0.35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 x14ac:dyDescent="0.35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 x14ac:dyDescent="0.35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 x14ac:dyDescent="0.35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 x14ac:dyDescent="0.35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 x14ac:dyDescent="0.35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 x14ac:dyDescent="0.35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 x14ac:dyDescent="0.35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 x14ac:dyDescent="0.35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 x14ac:dyDescent="0.35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 x14ac:dyDescent="0.35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 x14ac:dyDescent="0.35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 x14ac:dyDescent="0.35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 x14ac:dyDescent="0.35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 x14ac:dyDescent="0.35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 x14ac:dyDescent="0.35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 x14ac:dyDescent="0.35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 x14ac:dyDescent="0.35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 x14ac:dyDescent="0.35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 x14ac:dyDescent="0.35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 x14ac:dyDescent="0.35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 x14ac:dyDescent="0.35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 x14ac:dyDescent="0.35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 x14ac:dyDescent="0.35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 x14ac:dyDescent="0.35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 x14ac:dyDescent="0.35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 x14ac:dyDescent="0.35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 x14ac:dyDescent="0.35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 x14ac:dyDescent="0.35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 x14ac:dyDescent="0.35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 x14ac:dyDescent="0.35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 x14ac:dyDescent="0.35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 x14ac:dyDescent="0.35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 x14ac:dyDescent="0.35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 x14ac:dyDescent="0.35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 x14ac:dyDescent="0.35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 x14ac:dyDescent="0.35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 x14ac:dyDescent="0.35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 x14ac:dyDescent="0.35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 x14ac:dyDescent="0.35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 x14ac:dyDescent="0.35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 x14ac:dyDescent="0.35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 x14ac:dyDescent="0.35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 x14ac:dyDescent="0.35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 x14ac:dyDescent="0.35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 x14ac:dyDescent="0.35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 x14ac:dyDescent="0.35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 x14ac:dyDescent="0.35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 x14ac:dyDescent="0.35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 x14ac:dyDescent="0.35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 x14ac:dyDescent="0.35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 x14ac:dyDescent="0.35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 x14ac:dyDescent="0.35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 x14ac:dyDescent="0.35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 x14ac:dyDescent="0.35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 x14ac:dyDescent="0.35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 x14ac:dyDescent="0.35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 x14ac:dyDescent="0.35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 x14ac:dyDescent="0.35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 x14ac:dyDescent="0.35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 x14ac:dyDescent="0.35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 x14ac:dyDescent="0.35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 x14ac:dyDescent="0.35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 x14ac:dyDescent="0.35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 x14ac:dyDescent="0.35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 x14ac:dyDescent="0.35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 x14ac:dyDescent="0.35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 x14ac:dyDescent="0.35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 x14ac:dyDescent="0.35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 x14ac:dyDescent="0.35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 x14ac:dyDescent="0.35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 x14ac:dyDescent="0.35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 x14ac:dyDescent="0.35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 x14ac:dyDescent="0.35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 x14ac:dyDescent="0.35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 x14ac:dyDescent="0.35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 x14ac:dyDescent="0.35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 x14ac:dyDescent="0.35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 x14ac:dyDescent="0.35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 x14ac:dyDescent="0.35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 x14ac:dyDescent="0.35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 x14ac:dyDescent="0.35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 x14ac:dyDescent="0.35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 x14ac:dyDescent="0.35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 x14ac:dyDescent="0.35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 x14ac:dyDescent="0.35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 x14ac:dyDescent="0.35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 x14ac:dyDescent="0.35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 x14ac:dyDescent="0.35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 x14ac:dyDescent="0.35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 x14ac:dyDescent="0.35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 x14ac:dyDescent="0.35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 x14ac:dyDescent="0.35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 x14ac:dyDescent="0.35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 x14ac:dyDescent="0.35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 x14ac:dyDescent="0.35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 x14ac:dyDescent="0.35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 x14ac:dyDescent="0.35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 x14ac:dyDescent="0.35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 x14ac:dyDescent="0.35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 x14ac:dyDescent="0.35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 x14ac:dyDescent="0.35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 x14ac:dyDescent="0.35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 x14ac:dyDescent="0.35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 x14ac:dyDescent="0.35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 x14ac:dyDescent="0.35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 x14ac:dyDescent="0.35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 x14ac:dyDescent="0.35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 x14ac:dyDescent="0.35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 x14ac:dyDescent="0.35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 x14ac:dyDescent="0.35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 x14ac:dyDescent="0.35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 x14ac:dyDescent="0.35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 x14ac:dyDescent="0.35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 x14ac:dyDescent="0.35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 x14ac:dyDescent="0.35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 x14ac:dyDescent="0.35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 x14ac:dyDescent="0.35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 x14ac:dyDescent="0.35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 x14ac:dyDescent="0.35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 x14ac:dyDescent="0.35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 x14ac:dyDescent="0.35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 x14ac:dyDescent="0.35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 x14ac:dyDescent="0.35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 x14ac:dyDescent="0.35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 x14ac:dyDescent="0.35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 x14ac:dyDescent="0.35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 x14ac:dyDescent="0.35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 x14ac:dyDescent="0.35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 x14ac:dyDescent="0.35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 x14ac:dyDescent="0.35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 x14ac:dyDescent="0.35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 x14ac:dyDescent="0.35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 x14ac:dyDescent="0.35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 x14ac:dyDescent="0.35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 x14ac:dyDescent="0.35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 x14ac:dyDescent="0.35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 x14ac:dyDescent="0.35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 x14ac:dyDescent="0.35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 x14ac:dyDescent="0.35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 x14ac:dyDescent="0.35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 x14ac:dyDescent="0.35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 x14ac:dyDescent="0.35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 x14ac:dyDescent="0.35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 x14ac:dyDescent="0.35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 x14ac:dyDescent="0.35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 x14ac:dyDescent="0.35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 x14ac:dyDescent="0.35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 x14ac:dyDescent="0.35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 x14ac:dyDescent="0.35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 x14ac:dyDescent="0.35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 x14ac:dyDescent="0.35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 x14ac:dyDescent="0.35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 x14ac:dyDescent="0.35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 x14ac:dyDescent="0.35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 x14ac:dyDescent="0.35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 x14ac:dyDescent="0.35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 x14ac:dyDescent="0.35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 x14ac:dyDescent="0.35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 x14ac:dyDescent="0.35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 x14ac:dyDescent="0.35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 x14ac:dyDescent="0.35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 x14ac:dyDescent="0.35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 x14ac:dyDescent="0.35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 x14ac:dyDescent="0.35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 x14ac:dyDescent="0.35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 x14ac:dyDescent="0.35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 x14ac:dyDescent="0.35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 x14ac:dyDescent="0.35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 x14ac:dyDescent="0.35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 x14ac:dyDescent="0.35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 x14ac:dyDescent="0.35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 x14ac:dyDescent="0.35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 x14ac:dyDescent="0.35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 x14ac:dyDescent="0.35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 x14ac:dyDescent="0.35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 x14ac:dyDescent="0.35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 x14ac:dyDescent="0.35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 x14ac:dyDescent="0.35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 x14ac:dyDescent="0.35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 x14ac:dyDescent="0.35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 x14ac:dyDescent="0.35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 x14ac:dyDescent="0.35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 x14ac:dyDescent="0.35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 x14ac:dyDescent="0.35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 x14ac:dyDescent="0.35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 x14ac:dyDescent="0.35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 x14ac:dyDescent="0.35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 x14ac:dyDescent="0.35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 x14ac:dyDescent="0.35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 x14ac:dyDescent="0.35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 x14ac:dyDescent="0.35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 x14ac:dyDescent="0.35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 x14ac:dyDescent="0.35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 x14ac:dyDescent="0.35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 x14ac:dyDescent="0.35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 x14ac:dyDescent="0.35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 x14ac:dyDescent="0.35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 x14ac:dyDescent="0.35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 x14ac:dyDescent="0.35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 x14ac:dyDescent="0.35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 x14ac:dyDescent="0.35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 x14ac:dyDescent="0.35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 x14ac:dyDescent="0.35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 x14ac:dyDescent="0.35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 x14ac:dyDescent="0.35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 x14ac:dyDescent="0.35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 x14ac:dyDescent="0.35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 x14ac:dyDescent="0.35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 x14ac:dyDescent="0.35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 x14ac:dyDescent="0.35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 x14ac:dyDescent="0.35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 x14ac:dyDescent="0.35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 x14ac:dyDescent="0.35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 x14ac:dyDescent="0.35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 x14ac:dyDescent="0.35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 x14ac:dyDescent="0.35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 x14ac:dyDescent="0.35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 x14ac:dyDescent="0.35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 x14ac:dyDescent="0.35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 x14ac:dyDescent="0.35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 x14ac:dyDescent="0.35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 x14ac:dyDescent="0.35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 x14ac:dyDescent="0.35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 x14ac:dyDescent="0.35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 x14ac:dyDescent="0.35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 x14ac:dyDescent="0.35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 x14ac:dyDescent="0.35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 x14ac:dyDescent="0.35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 x14ac:dyDescent="0.35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 x14ac:dyDescent="0.35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 x14ac:dyDescent="0.35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 x14ac:dyDescent="0.35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 x14ac:dyDescent="0.35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 x14ac:dyDescent="0.35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 x14ac:dyDescent="0.35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 x14ac:dyDescent="0.35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 x14ac:dyDescent="0.35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 x14ac:dyDescent="0.35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 x14ac:dyDescent="0.35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 x14ac:dyDescent="0.35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 x14ac:dyDescent="0.35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 x14ac:dyDescent="0.35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 x14ac:dyDescent="0.35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 x14ac:dyDescent="0.35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 x14ac:dyDescent="0.35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 x14ac:dyDescent="0.35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 x14ac:dyDescent="0.35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 x14ac:dyDescent="0.35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 x14ac:dyDescent="0.35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 x14ac:dyDescent="0.35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 x14ac:dyDescent="0.35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 x14ac:dyDescent="0.35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 x14ac:dyDescent="0.35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 x14ac:dyDescent="0.35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 x14ac:dyDescent="0.35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 x14ac:dyDescent="0.35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 x14ac:dyDescent="0.35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 x14ac:dyDescent="0.35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 x14ac:dyDescent="0.35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 x14ac:dyDescent="0.35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 x14ac:dyDescent="0.35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 x14ac:dyDescent="0.35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 x14ac:dyDescent="0.35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 x14ac:dyDescent="0.35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 x14ac:dyDescent="0.35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 x14ac:dyDescent="0.35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 x14ac:dyDescent="0.35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 x14ac:dyDescent="0.35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 x14ac:dyDescent="0.35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 x14ac:dyDescent="0.35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 x14ac:dyDescent="0.35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 x14ac:dyDescent="0.35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 x14ac:dyDescent="0.35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 x14ac:dyDescent="0.35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 x14ac:dyDescent="0.35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 x14ac:dyDescent="0.35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 x14ac:dyDescent="0.35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 x14ac:dyDescent="0.35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 x14ac:dyDescent="0.35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 x14ac:dyDescent="0.35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 x14ac:dyDescent="0.35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 x14ac:dyDescent="0.35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 x14ac:dyDescent="0.35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 x14ac:dyDescent="0.35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 x14ac:dyDescent="0.35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 x14ac:dyDescent="0.35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 x14ac:dyDescent="0.35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 x14ac:dyDescent="0.35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 x14ac:dyDescent="0.35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 x14ac:dyDescent="0.35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 x14ac:dyDescent="0.35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 x14ac:dyDescent="0.35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 x14ac:dyDescent="0.35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 x14ac:dyDescent="0.35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 x14ac:dyDescent="0.35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 x14ac:dyDescent="0.35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 x14ac:dyDescent="0.35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 x14ac:dyDescent="0.35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 x14ac:dyDescent="0.35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 x14ac:dyDescent="0.35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 x14ac:dyDescent="0.35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 x14ac:dyDescent="0.35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 x14ac:dyDescent="0.35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 x14ac:dyDescent="0.35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 x14ac:dyDescent="0.35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 x14ac:dyDescent="0.35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 x14ac:dyDescent="0.35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 x14ac:dyDescent="0.35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 x14ac:dyDescent="0.35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 x14ac:dyDescent="0.35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 x14ac:dyDescent="0.35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 x14ac:dyDescent="0.35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 x14ac:dyDescent="0.35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 x14ac:dyDescent="0.35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 x14ac:dyDescent="0.35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 x14ac:dyDescent="0.35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 x14ac:dyDescent="0.35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 x14ac:dyDescent="0.35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 x14ac:dyDescent="0.35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 x14ac:dyDescent="0.35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 x14ac:dyDescent="0.35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 x14ac:dyDescent="0.35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 x14ac:dyDescent="0.35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 x14ac:dyDescent="0.35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 x14ac:dyDescent="0.35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 x14ac:dyDescent="0.35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 x14ac:dyDescent="0.35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 x14ac:dyDescent="0.35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 x14ac:dyDescent="0.35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 x14ac:dyDescent="0.35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 x14ac:dyDescent="0.35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 x14ac:dyDescent="0.35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 x14ac:dyDescent="0.35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 x14ac:dyDescent="0.35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 x14ac:dyDescent="0.35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 x14ac:dyDescent="0.35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 x14ac:dyDescent="0.35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 x14ac:dyDescent="0.35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 x14ac:dyDescent="0.35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 x14ac:dyDescent="0.35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 x14ac:dyDescent="0.35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 x14ac:dyDescent="0.35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 x14ac:dyDescent="0.35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 x14ac:dyDescent="0.35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 x14ac:dyDescent="0.35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 x14ac:dyDescent="0.35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 x14ac:dyDescent="0.35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 x14ac:dyDescent="0.35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 x14ac:dyDescent="0.35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 x14ac:dyDescent="0.35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 x14ac:dyDescent="0.35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 x14ac:dyDescent="0.35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 x14ac:dyDescent="0.35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 x14ac:dyDescent="0.35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 x14ac:dyDescent="0.35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 x14ac:dyDescent="0.35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 x14ac:dyDescent="0.35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 x14ac:dyDescent="0.35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 x14ac:dyDescent="0.35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 x14ac:dyDescent="0.35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 x14ac:dyDescent="0.35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 x14ac:dyDescent="0.35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 x14ac:dyDescent="0.35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 x14ac:dyDescent="0.35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 x14ac:dyDescent="0.35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 x14ac:dyDescent="0.35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 x14ac:dyDescent="0.35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 x14ac:dyDescent="0.35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 x14ac:dyDescent="0.35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 x14ac:dyDescent="0.35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 x14ac:dyDescent="0.35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 x14ac:dyDescent="0.35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 x14ac:dyDescent="0.35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 x14ac:dyDescent="0.35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 x14ac:dyDescent="0.35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 x14ac:dyDescent="0.35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 x14ac:dyDescent="0.35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 x14ac:dyDescent="0.35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 x14ac:dyDescent="0.35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 x14ac:dyDescent="0.35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 x14ac:dyDescent="0.35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 x14ac:dyDescent="0.35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 x14ac:dyDescent="0.35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 x14ac:dyDescent="0.35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 x14ac:dyDescent="0.35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 x14ac:dyDescent="0.35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 x14ac:dyDescent="0.35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 x14ac:dyDescent="0.35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 x14ac:dyDescent="0.35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 x14ac:dyDescent="0.35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 x14ac:dyDescent="0.35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 x14ac:dyDescent="0.35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 x14ac:dyDescent="0.35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 x14ac:dyDescent="0.35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 x14ac:dyDescent="0.35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 x14ac:dyDescent="0.35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 x14ac:dyDescent="0.35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 x14ac:dyDescent="0.35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 x14ac:dyDescent="0.35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 x14ac:dyDescent="0.35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 x14ac:dyDescent="0.35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 x14ac:dyDescent="0.35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 x14ac:dyDescent="0.35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 x14ac:dyDescent="0.35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 x14ac:dyDescent="0.35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 x14ac:dyDescent="0.35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 x14ac:dyDescent="0.35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 x14ac:dyDescent="0.35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 x14ac:dyDescent="0.35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 x14ac:dyDescent="0.35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 x14ac:dyDescent="0.35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 x14ac:dyDescent="0.35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 x14ac:dyDescent="0.35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 x14ac:dyDescent="0.35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 x14ac:dyDescent="0.35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 x14ac:dyDescent="0.35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 x14ac:dyDescent="0.35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 x14ac:dyDescent="0.35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 x14ac:dyDescent="0.35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 x14ac:dyDescent="0.35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 x14ac:dyDescent="0.35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 x14ac:dyDescent="0.35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 x14ac:dyDescent="0.35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 x14ac:dyDescent="0.35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 x14ac:dyDescent="0.35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 x14ac:dyDescent="0.35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 x14ac:dyDescent="0.35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 x14ac:dyDescent="0.35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 x14ac:dyDescent="0.35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 x14ac:dyDescent="0.35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 x14ac:dyDescent="0.35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 x14ac:dyDescent="0.35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 x14ac:dyDescent="0.35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 x14ac:dyDescent="0.35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 x14ac:dyDescent="0.35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 x14ac:dyDescent="0.35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 x14ac:dyDescent="0.35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 x14ac:dyDescent="0.35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 x14ac:dyDescent="0.35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 x14ac:dyDescent="0.35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 x14ac:dyDescent="0.35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 x14ac:dyDescent="0.35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 x14ac:dyDescent="0.35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 x14ac:dyDescent="0.35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 x14ac:dyDescent="0.35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 x14ac:dyDescent="0.35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 x14ac:dyDescent="0.35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 x14ac:dyDescent="0.35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 x14ac:dyDescent="0.35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 x14ac:dyDescent="0.35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 x14ac:dyDescent="0.35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 x14ac:dyDescent="0.35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 x14ac:dyDescent="0.35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 x14ac:dyDescent="0.35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 x14ac:dyDescent="0.35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 x14ac:dyDescent="0.35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 x14ac:dyDescent="0.35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 x14ac:dyDescent="0.35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 x14ac:dyDescent="0.35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 x14ac:dyDescent="0.35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 x14ac:dyDescent="0.35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 x14ac:dyDescent="0.35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 x14ac:dyDescent="0.35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 x14ac:dyDescent="0.35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 x14ac:dyDescent="0.35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 x14ac:dyDescent="0.35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 x14ac:dyDescent="0.35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 x14ac:dyDescent="0.35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 x14ac:dyDescent="0.35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 x14ac:dyDescent="0.35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 x14ac:dyDescent="0.35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 x14ac:dyDescent="0.35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 x14ac:dyDescent="0.35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 x14ac:dyDescent="0.35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 x14ac:dyDescent="0.35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 x14ac:dyDescent="0.35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 x14ac:dyDescent="0.35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 x14ac:dyDescent="0.35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 x14ac:dyDescent="0.35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 x14ac:dyDescent="0.35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 x14ac:dyDescent="0.35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 x14ac:dyDescent="0.35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 x14ac:dyDescent="0.35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 x14ac:dyDescent="0.35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 x14ac:dyDescent="0.35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 x14ac:dyDescent="0.35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 x14ac:dyDescent="0.35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 x14ac:dyDescent="0.35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 x14ac:dyDescent="0.35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 x14ac:dyDescent="0.35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 x14ac:dyDescent="0.35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 x14ac:dyDescent="0.35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 x14ac:dyDescent="0.35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 x14ac:dyDescent="0.35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 x14ac:dyDescent="0.35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 x14ac:dyDescent="0.35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 x14ac:dyDescent="0.35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 x14ac:dyDescent="0.35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 x14ac:dyDescent="0.35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 x14ac:dyDescent="0.35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 x14ac:dyDescent="0.35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 x14ac:dyDescent="0.35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 x14ac:dyDescent="0.35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 x14ac:dyDescent="0.35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 x14ac:dyDescent="0.35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 x14ac:dyDescent="0.35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 x14ac:dyDescent="0.35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 x14ac:dyDescent="0.35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 x14ac:dyDescent="0.35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 x14ac:dyDescent="0.35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 x14ac:dyDescent="0.35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 x14ac:dyDescent="0.35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 x14ac:dyDescent="0.35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 x14ac:dyDescent="0.35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 x14ac:dyDescent="0.35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 x14ac:dyDescent="0.35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 x14ac:dyDescent="0.35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 x14ac:dyDescent="0.35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 x14ac:dyDescent="0.35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 x14ac:dyDescent="0.35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 x14ac:dyDescent="0.35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 x14ac:dyDescent="0.35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 x14ac:dyDescent="0.35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 x14ac:dyDescent="0.35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 x14ac:dyDescent="0.35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 x14ac:dyDescent="0.35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 x14ac:dyDescent="0.35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 x14ac:dyDescent="0.35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 x14ac:dyDescent="0.35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 x14ac:dyDescent="0.35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 x14ac:dyDescent="0.35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 x14ac:dyDescent="0.35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 x14ac:dyDescent="0.35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 x14ac:dyDescent="0.35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 x14ac:dyDescent="0.35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 x14ac:dyDescent="0.35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 x14ac:dyDescent="0.35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 x14ac:dyDescent="0.35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 x14ac:dyDescent="0.35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 x14ac:dyDescent="0.35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 x14ac:dyDescent="0.35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 x14ac:dyDescent="0.35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 x14ac:dyDescent="0.35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 x14ac:dyDescent="0.35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 x14ac:dyDescent="0.35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 x14ac:dyDescent="0.35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 x14ac:dyDescent="0.35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 x14ac:dyDescent="0.35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 x14ac:dyDescent="0.35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 x14ac:dyDescent="0.35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 x14ac:dyDescent="0.35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 x14ac:dyDescent="0.35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 x14ac:dyDescent="0.35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 x14ac:dyDescent="0.35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 x14ac:dyDescent="0.35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 x14ac:dyDescent="0.35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 x14ac:dyDescent="0.35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 x14ac:dyDescent="0.35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 x14ac:dyDescent="0.35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 x14ac:dyDescent="0.35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 x14ac:dyDescent="0.35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 x14ac:dyDescent="0.35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 x14ac:dyDescent="0.35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 x14ac:dyDescent="0.35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 x14ac:dyDescent="0.35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 x14ac:dyDescent="0.35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 x14ac:dyDescent="0.35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 x14ac:dyDescent="0.35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 x14ac:dyDescent="0.35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 x14ac:dyDescent="0.35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 x14ac:dyDescent="0.35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 x14ac:dyDescent="0.35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 x14ac:dyDescent="0.35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 x14ac:dyDescent="0.35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 x14ac:dyDescent="0.35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 x14ac:dyDescent="0.35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 x14ac:dyDescent="0.35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 x14ac:dyDescent="0.35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 x14ac:dyDescent="0.35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 x14ac:dyDescent="0.35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 x14ac:dyDescent="0.35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 x14ac:dyDescent="0.35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 x14ac:dyDescent="0.35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 x14ac:dyDescent="0.35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 x14ac:dyDescent="0.35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 x14ac:dyDescent="0.35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 x14ac:dyDescent="0.35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 x14ac:dyDescent="0.35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 x14ac:dyDescent="0.35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 x14ac:dyDescent="0.35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 x14ac:dyDescent="0.35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 x14ac:dyDescent="0.35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 x14ac:dyDescent="0.35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 x14ac:dyDescent="0.35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 x14ac:dyDescent="0.35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 x14ac:dyDescent="0.35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 x14ac:dyDescent="0.35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 x14ac:dyDescent="0.35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 x14ac:dyDescent="0.35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 x14ac:dyDescent="0.35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 x14ac:dyDescent="0.35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 x14ac:dyDescent="0.35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 x14ac:dyDescent="0.35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 x14ac:dyDescent="0.35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 x14ac:dyDescent="0.35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 x14ac:dyDescent="0.35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 x14ac:dyDescent="0.35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 x14ac:dyDescent="0.35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 x14ac:dyDescent="0.35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 x14ac:dyDescent="0.35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 x14ac:dyDescent="0.35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 x14ac:dyDescent="0.35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 x14ac:dyDescent="0.35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 x14ac:dyDescent="0.35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 x14ac:dyDescent="0.35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 x14ac:dyDescent="0.35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 x14ac:dyDescent="0.35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 x14ac:dyDescent="0.35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 x14ac:dyDescent="0.35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 x14ac:dyDescent="0.35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 x14ac:dyDescent="0.35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 x14ac:dyDescent="0.35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 x14ac:dyDescent="0.35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 x14ac:dyDescent="0.35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 x14ac:dyDescent="0.35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 x14ac:dyDescent="0.35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 x14ac:dyDescent="0.35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 x14ac:dyDescent="0.35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 x14ac:dyDescent="0.35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 x14ac:dyDescent="0.35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 x14ac:dyDescent="0.35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 x14ac:dyDescent="0.35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 x14ac:dyDescent="0.35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 x14ac:dyDescent="0.35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 x14ac:dyDescent="0.35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 x14ac:dyDescent="0.35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 x14ac:dyDescent="0.35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 x14ac:dyDescent="0.35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 x14ac:dyDescent="0.35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 x14ac:dyDescent="0.35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 x14ac:dyDescent="0.35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 x14ac:dyDescent="0.35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 x14ac:dyDescent="0.35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 x14ac:dyDescent="0.35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 x14ac:dyDescent="0.35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 x14ac:dyDescent="0.35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 x14ac:dyDescent="0.35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 x14ac:dyDescent="0.35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 x14ac:dyDescent="0.35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 x14ac:dyDescent="0.35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 x14ac:dyDescent="0.35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 x14ac:dyDescent="0.35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 x14ac:dyDescent="0.35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 x14ac:dyDescent="0.35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 x14ac:dyDescent="0.35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 x14ac:dyDescent="0.35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 x14ac:dyDescent="0.35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 x14ac:dyDescent="0.35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 x14ac:dyDescent="0.35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 x14ac:dyDescent="0.35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 x14ac:dyDescent="0.35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 x14ac:dyDescent="0.35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 x14ac:dyDescent="0.35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 x14ac:dyDescent="0.35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 x14ac:dyDescent="0.35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 x14ac:dyDescent="0.35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 x14ac:dyDescent="0.35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 x14ac:dyDescent="0.35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 x14ac:dyDescent="0.35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 x14ac:dyDescent="0.35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 x14ac:dyDescent="0.35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 x14ac:dyDescent="0.35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 x14ac:dyDescent="0.35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 x14ac:dyDescent="0.35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 x14ac:dyDescent="0.35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 x14ac:dyDescent="0.35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 x14ac:dyDescent="0.35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 x14ac:dyDescent="0.35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 x14ac:dyDescent="0.35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 x14ac:dyDescent="0.35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 x14ac:dyDescent="0.35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 x14ac:dyDescent="0.35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 x14ac:dyDescent="0.35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 x14ac:dyDescent="0.35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 x14ac:dyDescent="0.35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 x14ac:dyDescent="0.35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 x14ac:dyDescent="0.35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 x14ac:dyDescent="0.35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 x14ac:dyDescent="0.35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 x14ac:dyDescent="0.35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 x14ac:dyDescent="0.35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 x14ac:dyDescent="0.35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 x14ac:dyDescent="0.35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 x14ac:dyDescent="0.35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 x14ac:dyDescent="0.35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 x14ac:dyDescent="0.35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 x14ac:dyDescent="0.35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 x14ac:dyDescent="0.35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 x14ac:dyDescent="0.35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 x14ac:dyDescent="0.35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 x14ac:dyDescent="0.35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 x14ac:dyDescent="0.35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 x14ac:dyDescent="0.35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 x14ac:dyDescent="0.35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 x14ac:dyDescent="0.35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 x14ac:dyDescent="0.35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 x14ac:dyDescent="0.35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 x14ac:dyDescent="0.35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 x14ac:dyDescent="0.35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 x14ac:dyDescent="0.35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 x14ac:dyDescent="0.35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 x14ac:dyDescent="0.35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 x14ac:dyDescent="0.35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 x14ac:dyDescent="0.35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 x14ac:dyDescent="0.35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 x14ac:dyDescent="0.35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 x14ac:dyDescent="0.35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 x14ac:dyDescent="0.35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 x14ac:dyDescent="0.35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 x14ac:dyDescent="0.35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 x14ac:dyDescent="0.35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 x14ac:dyDescent="0.35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 x14ac:dyDescent="0.35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 x14ac:dyDescent="0.35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 x14ac:dyDescent="0.35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 x14ac:dyDescent="0.35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 x14ac:dyDescent="0.35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 x14ac:dyDescent="0.35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 x14ac:dyDescent="0.35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 x14ac:dyDescent="0.35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 x14ac:dyDescent="0.35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 x14ac:dyDescent="0.35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 x14ac:dyDescent="0.35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 x14ac:dyDescent="0.35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 x14ac:dyDescent="0.35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 x14ac:dyDescent="0.35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 x14ac:dyDescent="0.35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 x14ac:dyDescent="0.35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 x14ac:dyDescent="0.35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 x14ac:dyDescent="0.35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 x14ac:dyDescent="0.35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 x14ac:dyDescent="0.35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 x14ac:dyDescent="0.35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 x14ac:dyDescent="0.35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 x14ac:dyDescent="0.35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 x14ac:dyDescent="0.35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 x14ac:dyDescent="0.35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 x14ac:dyDescent="0.35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 x14ac:dyDescent="0.35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 x14ac:dyDescent="0.35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 x14ac:dyDescent="0.35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 x14ac:dyDescent="0.35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 x14ac:dyDescent="0.35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 x14ac:dyDescent="0.35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 x14ac:dyDescent="0.35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 x14ac:dyDescent="0.35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 x14ac:dyDescent="0.35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 x14ac:dyDescent="0.35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 x14ac:dyDescent="0.35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 x14ac:dyDescent="0.35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 x14ac:dyDescent="0.35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 x14ac:dyDescent="0.35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 x14ac:dyDescent="0.35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 x14ac:dyDescent="0.35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 x14ac:dyDescent="0.35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 x14ac:dyDescent="0.35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 x14ac:dyDescent="0.35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 x14ac:dyDescent="0.35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 x14ac:dyDescent="0.35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 x14ac:dyDescent="0.35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 x14ac:dyDescent="0.35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 x14ac:dyDescent="0.35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 x14ac:dyDescent="0.35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 x14ac:dyDescent="0.35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 x14ac:dyDescent="0.35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 x14ac:dyDescent="0.35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 x14ac:dyDescent="0.35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 x14ac:dyDescent="0.35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 x14ac:dyDescent="0.35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 x14ac:dyDescent="0.35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 x14ac:dyDescent="0.35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 x14ac:dyDescent="0.35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 x14ac:dyDescent="0.35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 x14ac:dyDescent="0.35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 x14ac:dyDescent="0.35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 x14ac:dyDescent="0.35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 x14ac:dyDescent="0.35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 x14ac:dyDescent="0.35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 x14ac:dyDescent="0.35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 x14ac:dyDescent="0.35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 x14ac:dyDescent="0.35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 x14ac:dyDescent="0.35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 x14ac:dyDescent="0.35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 x14ac:dyDescent="0.35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 x14ac:dyDescent="0.35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 x14ac:dyDescent="0.35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 x14ac:dyDescent="0.35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 x14ac:dyDescent="0.35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 x14ac:dyDescent="0.35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 x14ac:dyDescent="0.35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 x14ac:dyDescent="0.35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 x14ac:dyDescent="0.35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 x14ac:dyDescent="0.35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 x14ac:dyDescent="0.35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 x14ac:dyDescent="0.35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 x14ac:dyDescent="0.35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 x14ac:dyDescent="0.35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 x14ac:dyDescent="0.35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 x14ac:dyDescent="0.35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 x14ac:dyDescent="0.35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 x14ac:dyDescent="0.35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 x14ac:dyDescent="0.35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 x14ac:dyDescent="0.35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 x14ac:dyDescent="0.35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 x14ac:dyDescent="0.35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 x14ac:dyDescent="0.35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 x14ac:dyDescent="0.35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 x14ac:dyDescent="0.35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 x14ac:dyDescent="0.35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 x14ac:dyDescent="0.35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 x14ac:dyDescent="0.35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 x14ac:dyDescent="0.35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 x14ac:dyDescent="0.35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 x14ac:dyDescent="0.35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 x14ac:dyDescent="0.35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 x14ac:dyDescent="0.35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 x14ac:dyDescent="0.35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 x14ac:dyDescent="0.35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 x14ac:dyDescent="0.35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 x14ac:dyDescent="0.35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 x14ac:dyDescent="0.35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 x14ac:dyDescent="0.35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 x14ac:dyDescent="0.35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 x14ac:dyDescent="0.35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 x14ac:dyDescent="0.35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 x14ac:dyDescent="0.35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 x14ac:dyDescent="0.35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 x14ac:dyDescent="0.35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 x14ac:dyDescent="0.35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 x14ac:dyDescent="0.35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 x14ac:dyDescent="0.35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 x14ac:dyDescent="0.35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 x14ac:dyDescent="0.35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 x14ac:dyDescent="0.35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 x14ac:dyDescent="0.35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 x14ac:dyDescent="0.35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 x14ac:dyDescent="0.35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 x14ac:dyDescent="0.35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 x14ac:dyDescent="0.35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 x14ac:dyDescent="0.35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 x14ac:dyDescent="0.35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 x14ac:dyDescent="0.35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 x14ac:dyDescent="0.35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 x14ac:dyDescent="0.35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 x14ac:dyDescent="0.35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 x14ac:dyDescent="0.35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 x14ac:dyDescent="0.35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 x14ac:dyDescent="0.35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 x14ac:dyDescent="0.35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 x14ac:dyDescent="0.35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 x14ac:dyDescent="0.35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 x14ac:dyDescent="0.35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 x14ac:dyDescent="0.35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 x14ac:dyDescent="0.35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 x14ac:dyDescent="0.35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 x14ac:dyDescent="0.35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 x14ac:dyDescent="0.35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 x14ac:dyDescent="0.35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 x14ac:dyDescent="0.35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 x14ac:dyDescent="0.35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 x14ac:dyDescent="0.35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 x14ac:dyDescent="0.35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 x14ac:dyDescent="0.35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 x14ac:dyDescent="0.35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 x14ac:dyDescent="0.35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 x14ac:dyDescent="0.35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 x14ac:dyDescent="0.35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 x14ac:dyDescent="0.35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 x14ac:dyDescent="0.35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 x14ac:dyDescent="0.35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 x14ac:dyDescent="0.35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 x14ac:dyDescent="0.35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 x14ac:dyDescent="0.35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 x14ac:dyDescent="0.35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 x14ac:dyDescent="0.35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 x14ac:dyDescent="0.35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 x14ac:dyDescent="0.35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 x14ac:dyDescent="0.35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 x14ac:dyDescent="0.35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 x14ac:dyDescent="0.35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 x14ac:dyDescent="0.35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 x14ac:dyDescent="0.35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 x14ac:dyDescent="0.35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 x14ac:dyDescent="0.35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 x14ac:dyDescent="0.35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 x14ac:dyDescent="0.35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 x14ac:dyDescent="0.35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 x14ac:dyDescent="0.35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 x14ac:dyDescent="0.35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 x14ac:dyDescent="0.35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 x14ac:dyDescent="0.35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 x14ac:dyDescent="0.35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 x14ac:dyDescent="0.35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 x14ac:dyDescent="0.35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 x14ac:dyDescent="0.35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 x14ac:dyDescent="0.35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 x14ac:dyDescent="0.35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 x14ac:dyDescent="0.35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 x14ac:dyDescent="0.35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 x14ac:dyDescent="0.35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 x14ac:dyDescent="0.35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 x14ac:dyDescent="0.35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 x14ac:dyDescent="0.35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 x14ac:dyDescent="0.35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 x14ac:dyDescent="0.35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 x14ac:dyDescent="0.35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 x14ac:dyDescent="0.35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 x14ac:dyDescent="0.35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 x14ac:dyDescent="0.35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 x14ac:dyDescent="0.35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 x14ac:dyDescent="0.35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 x14ac:dyDescent="0.35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 x14ac:dyDescent="0.35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 x14ac:dyDescent="0.35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 x14ac:dyDescent="0.35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 x14ac:dyDescent="0.35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 x14ac:dyDescent="0.35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 x14ac:dyDescent="0.35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 x14ac:dyDescent="0.35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 x14ac:dyDescent="0.35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 x14ac:dyDescent="0.35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 x14ac:dyDescent="0.35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 x14ac:dyDescent="0.35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 x14ac:dyDescent="0.35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 x14ac:dyDescent="0.35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 x14ac:dyDescent="0.35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 x14ac:dyDescent="0.35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 x14ac:dyDescent="0.35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 x14ac:dyDescent="0.35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 x14ac:dyDescent="0.35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 x14ac:dyDescent="0.35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 x14ac:dyDescent="0.35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 x14ac:dyDescent="0.35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 x14ac:dyDescent="0.35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 x14ac:dyDescent="0.35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 x14ac:dyDescent="0.35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 x14ac:dyDescent="0.35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 x14ac:dyDescent="0.35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 x14ac:dyDescent="0.35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 x14ac:dyDescent="0.35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 x14ac:dyDescent="0.35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 x14ac:dyDescent="0.35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 x14ac:dyDescent="0.35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 x14ac:dyDescent="0.35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 x14ac:dyDescent="0.35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 x14ac:dyDescent="0.35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 x14ac:dyDescent="0.35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 x14ac:dyDescent="0.35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 x14ac:dyDescent="0.35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 x14ac:dyDescent="0.35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 x14ac:dyDescent="0.35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 x14ac:dyDescent="0.35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 x14ac:dyDescent="0.35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 x14ac:dyDescent="0.35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 x14ac:dyDescent="0.35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 x14ac:dyDescent="0.35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 x14ac:dyDescent="0.35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 x14ac:dyDescent="0.35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 x14ac:dyDescent="0.35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 x14ac:dyDescent="0.35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 x14ac:dyDescent="0.35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 x14ac:dyDescent="0.35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 x14ac:dyDescent="0.35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 x14ac:dyDescent="0.35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 x14ac:dyDescent="0.35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 x14ac:dyDescent="0.35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 x14ac:dyDescent="0.35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 x14ac:dyDescent="0.35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 x14ac:dyDescent="0.35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 x14ac:dyDescent="0.35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 x14ac:dyDescent="0.35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 x14ac:dyDescent="0.35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 x14ac:dyDescent="0.35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 x14ac:dyDescent="0.35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 x14ac:dyDescent="0.35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 x14ac:dyDescent="0.35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 x14ac:dyDescent="0.35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 x14ac:dyDescent="0.35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 x14ac:dyDescent="0.35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 x14ac:dyDescent="0.35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 x14ac:dyDescent="0.35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 x14ac:dyDescent="0.35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 x14ac:dyDescent="0.35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 x14ac:dyDescent="0.35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 x14ac:dyDescent="0.35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 x14ac:dyDescent="0.35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 x14ac:dyDescent="0.35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 x14ac:dyDescent="0.35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 x14ac:dyDescent="0.35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 x14ac:dyDescent="0.35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 x14ac:dyDescent="0.35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 x14ac:dyDescent="0.35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 x14ac:dyDescent="0.35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 x14ac:dyDescent="0.35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 x14ac:dyDescent="0.35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 x14ac:dyDescent="0.35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 x14ac:dyDescent="0.35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 x14ac:dyDescent="0.35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 x14ac:dyDescent="0.35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 x14ac:dyDescent="0.35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 x14ac:dyDescent="0.35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 x14ac:dyDescent="0.35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 x14ac:dyDescent="0.35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 x14ac:dyDescent="0.35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 x14ac:dyDescent="0.35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 x14ac:dyDescent="0.35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 x14ac:dyDescent="0.35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 x14ac:dyDescent="0.35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 x14ac:dyDescent="0.35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 x14ac:dyDescent="0.35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 x14ac:dyDescent="0.35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 x14ac:dyDescent="0.35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 x14ac:dyDescent="0.35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 x14ac:dyDescent="0.35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 x14ac:dyDescent="0.35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 x14ac:dyDescent="0.35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 x14ac:dyDescent="0.35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 x14ac:dyDescent="0.35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 x14ac:dyDescent="0.35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 x14ac:dyDescent="0.35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 x14ac:dyDescent="0.35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 x14ac:dyDescent="0.35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 x14ac:dyDescent="0.35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 x14ac:dyDescent="0.35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 x14ac:dyDescent="0.35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 x14ac:dyDescent="0.35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 x14ac:dyDescent="0.35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 x14ac:dyDescent="0.35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 x14ac:dyDescent="0.35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 x14ac:dyDescent="0.35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 x14ac:dyDescent="0.35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 x14ac:dyDescent="0.35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 x14ac:dyDescent="0.35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 x14ac:dyDescent="0.35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 x14ac:dyDescent="0.35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 x14ac:dyDescent="0.35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 x14ac:dyDescent="0.35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 x14ac:dyDescent="0.35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 x14ac:dyDescent="0.35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 x14ac:dyDescent="0.35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 x14ac:dyDescent="0.35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 x14ac:dyDescent="0.35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 x14ac:dyDescent="0.35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 x14ac:dyDescent="0.35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 x14ac:dyDescent="0.35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 x14ac:dyDescent="0.35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 x14ac:dyDescent="0.35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 x14ac:dyDescent="0.35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 x14ac:dyDescent="0.35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 x14ac:dyDescent="0.35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 x14ac:dyDescent="0.35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 x14ac:dyDescent="0.35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 x14ac:dyDescent="0.35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 x14ac:dyDescent="0.35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 x14ac:dyDescent="0.35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 x14ac:dyDescent="0.35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 x14ac:dyDescent="0.35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 x14ac:dyDescent="0.35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 x14ac:dyDescent="0.35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 x14ac:dyDescent="0.35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 x14ac:dyDescent="0.35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 x14ac:dyDescent="0.35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 x14ac:dyDescent="0.35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 x14ac:dyDescent="0.35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 x14ac:dyDescent="0.35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 x14ac:dyDescent="0.35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 x14ac:dyDescent="0.35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 x14ac:dyDescent="0.35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 x14ac:dyDescent="0.35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 x14ac:dyDescent="0.35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 x14ac:dyDescent="0.35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 x14ac:dyDescent="0.35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 x14ac:dyDescent="0.35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 x14ac:dyDescent="0.35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 x14ac:dyDescent="0.35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 x14ac:dyDescent="0.35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 x14ac:dyDescent="0.35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 x14ac:dyDescent="0.35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 x14ac:dyDescent="0.35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 x14ac:dyDescent="0.35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 x14ac:dyDescent="0.35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 x14ac:dyDescent="0.35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 x14ac:dyDescent="0.35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 x14ac:dyDescent="0.35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 x14ac:dyDescent="0.35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 x14ac:dyDescent="0.35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 x14ac:dyDescent="0.35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 x14ac:dyDescent="0.35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 x14ac:dyDescent="0.35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 x14ac:dyDescent="0.35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 x14ac:dyDescent="0.35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 x14ac:dyDescent="0.35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 x14ac:dyDescent="0.35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 x14ac:dyDescent="0.35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 x14ac:dyDescent="0.35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 x14ac:dyDescent="0.35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 x14ac:dyDescent="0.35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 x14ac:dyDescent="0.35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 x14ac:dyDescent="0.35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 x14ac:dyDescent="0.35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 x14ac:dyDescent="0.35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 x14ac:dyDescent="0.35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 x14ac:dyDescent="0.35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 x14ac:dyDescent="0.35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 x14ac:dyDescent="0.35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 x14ac:dyDescent="0.35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 x14ac:dyDescent="0.35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 x14ac:dyDescent="0.35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 x14ac:dyDescent="0.35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 x14ac:dyDescent="0.35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 x14ac:dyDescent="0.35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 x14ac:dyDescent="0.35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 x14ac:dyDescent="0.35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 x14ac:dyDescent="0.35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 x14ac:dyDescent="0.35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 x14ac:dyDescent="0.35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 x14ac:dyDescent="0.35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 x14ac:dyDescent="0.35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 x14ac:dyDescent="0.35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 x14ac:dyDescent="0.35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 x14ac:dyDescent="0.35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 x14ac:dyDescent="0.35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 x14ac:dyDescent="0.35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 x14ac:dyDescent="0.35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 x14ac:dyDescent="0.35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 x14ac:dyDescent="0.35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 x14ac:dyDescent="0.35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 x14ac:dyDescent="0.35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 x14ac:dyDescent="0.35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 x14ac:dyDescent="0.35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 x14ac:dyDescent="0.35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 x14ac:dyDescent="0.35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 x14ac:dyDescent="0.35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 x14ac:dyDescent="0.35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 x14ac:dyDescent="0.35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 x14ac:dyDescent="0.35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 x14ac:dyDescent="0.35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 x14ac:dyDescent="0.35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 x14ac:dyDescent="0.35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 x14ac:dyDescent="0.35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 x14ac:dyDescent="0.35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 x14ac:dyDescent="0.35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 x14ac:dyDescent="0.35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 x14ac:dyDescent="0.35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 x14ac:dyDescent="0.35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 x14ac:dyDescent="0.35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 x14ac:dyDescent="0.35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 x14ac:dyDescent="0.35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 x14ac:dyDescent="0.35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 x14ac:dyDescent="0.35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 x14ac:dyDescent="0.35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 x14ac:dyDescent="0.35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 x14ac:dyDescent="0.35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 x14ac:dyDescent="0.35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 x14ac:dyDescent="0.35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 x14ac:dyDescent="0.35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 x14ac:dyDescent="0.35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 x14ac:dyDescent="0.35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 x14ac:dyDescent="0.35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 x14ac:dyDescent="0.35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 x14ac:dyDescent="0.35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 x14ac:dyDescent="0.35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 x14ac:dyDescent="0.35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 x14ac:dyDescent="0.35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 x14ac:dyDescent="0.35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 x14ac:dyDescent="0.35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 x14ac:dyDescent="0.35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 x14ac:dyDescent="0.35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 x14ac:dyDescent="0.35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 x14ac:dyDescent="0.35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 x14ac:dyDescent="0.35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 x14ac:dyDescent="0.35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 x14ac:dyDescent="0.35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 x14ac:dyDescent="0.35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 x14ac:dyDescent="0.35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 x14ac:dyDescent="0.35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 x14ac:dyDescent="0.35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 x14ac:dyDescent="0.35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 x14ac:dyDescent="0.35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 x14ac:dyDescent="0.35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 x14ac:dyDescent="0.35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 x14ac:dyDescent="0.35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 x14ac:dyDescent="0.35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0D867-5BBC-45DB-B130-9AE5BA807496}">
  <dimension ref="A1:G45"/>
  <sheetViews>
    <sheetView tabSelected="1" workbookViewId="0">
      <selection activeCell="F14" sqref="F14"/>
    </sheetView>
  </sheetViews>
  <sheetFormatPr defaultRowHeight="14.5" x14ac:dyDescent="0.35"/>
  <cols>
    <col min="1" max="1" width="57.81640625" customWidth="1"/>
    <col min="2" max="2" width="13.08984375" bestFit="1" customWidth="1"/>
  </cols>
  <sheetData>
    <row r="1" spans="1:7" ht="20" customHeight="1" thickTop="1" thickBot="1" x14ac:dyDescent="0.5">
      <c r="A1" s="7" t="s">
        <v>95</v>
      </c>
      <c r="B1" s="8" t="s">
        <v>71</v>
      </c>
    </row>
    <row r="2" spans="1:7" ht="19.5" thickTop="1" thickBot="1" x14ac:dyDescent="0.5">
      <c r="A2" s="15" t="s">
        <v>94</v>
      </c>
      <c r="B2" s="9">
        <f>COUNT(employeedata[EmployeeNumber])</f>
        <v>1470</v>
      </c>
    </row>
    <row r="3" spans="1:7" ht="19.5" thickTop="1" thickBot="1" x14ac:dyDescent="0.5">
      <c r="A3" s="15" t="s">
        <v>66</v>
      </c>
      <c r="B3" s="10">
        <f>AVERAGE(employeedata[MonthlyIncome])</f>
        <v>6502.931292517007</v>
      </c>
    </row>
    <row r="4" spans="1:7" ht="19.5" thickTop="1" thickBot="1" x14ac:dyDescent="0.5">
      <c r="A4" s="15" t="s">
        <v>67</v>
      </c>
      <c r="B4" s="10">
        <f>MAX(employeedata[MonthlyIncome])</f>
        <v>19999</v>
      </c>
    </row>
    <row r="5" spans="1:7" ht="19.5" thickTop="1" thickBot="1" x14ac:dyDescent="0.5">
      <c r="A5" s="15" t="s">
        <v>68</v>
      </c>
      <c r="B5" s="9">
        <f>MIN(employeedata[MonthlyIncome])</f>
        <v>1009</v>
      </c>
    </row>
    <row r="6" spans="1:7" ht="19.5" thickTop="1" thickBot="1" x14ac:dyDescent="0.5">
      <c r="A6" s="15" t="s">
        <v>69</v>
      </c>
      <c r="B6" s="11">
        <f>AVERAGE(employeedata[Age])</f>
        <v>36.923809523809524</v>
      </c>
    </row>
    <row r="7" spans="1:7" ht="19.5" thickTop="1" thickBot="1" x14ac:dyDescent="0.5">
      <c r="A7" s="15" t="s">
        <v>99</v>
      </c>
      <c r="B7" s="9">
        <f>COUNTIF(employeedata[Attrition],"yes")</f>
        <v>237</v>
      </c>
      <c r="F7" s="1"/>
      <c r="G7" s="2"/>
    </row>
    <row r="8" spans="1:7" ht="19.5" thickTop="1" thickBot="1" x14ac:dyDescent="0.5">
      <c r="A8" s="15" t="s">
        <v>70</v>
      </c>
      <c r="B8" s="9">
        <f>COUNTIF(employeedata[Attrition],"No")</f>
        <v>1233</v>
      </c>
    </row>
    <row r="9" spans="1:7" ht="19" thickTop="1" x14ac:dyDescent="0.45">
      <c r="A9" s="3"/>
      <c r="B9" s="4"/>
    </row>
    <row r="10" spans="1:7" ht="19" thickBot="1" x14ac:dyDescent="0.5">
      <c r="A10" s="3"/>
      <c r="B10" s="4"/>
    </row>
    <row r="11" spans="1:7" ht="19.5" thickTop="1" thickBot="1" x14ac:dyDescent="0.5">
      <c r="A11" s="7" t="s">
        <v>72</v>
      </c>
      <c r="B11" s="7" t="s">
        <v>71</v>
      </c>
    </row>
    <row r="12" spans="1:7" ht="19.5" thickTop="1" thickBot="1" x14ac:dyDescent="0.5">
      <c r="A12" s="15" t="s">
        <v>73</v>
      </c>
      <c r="B12" s="9">
        <f>COUNTIF(employeedata[Department],"Sales")</f>
        <v>446</v>
      </c>
    </row>
    <row r="13" spans="1:7" ht="19.5" thickTop="1" thickBot="1" x14ac:dyDescent="0.5">
      <c r="A13" s="15" t="s">
        <v>97</v>
      </c>
      <c r="B13" s="9">
        <f>COUNTIF(employeedata[Department],"Human Resources")</f>
        <v>63</v>
      </c>
    </row>
    <row r="14" spans="1:7" ht="19.5" thickTop="1" thickBot="1" x14ac:dyDescent="0.5">
      <c r="A14" s="15" t="s">
        <v>74</v>
      </c>
      <c r="B14" s="9">
        <f>COUNTIF(employeedata[Department],"Research &amp; Development")</f>
        <v>961</v>
      </c>
    </row>
    <row r="15" spans="1:7" ht="19.5" thickTop="1" thickBot="1" x14ac:dyDescent="0.5">
      <c r="A15" s="15" t="s">
        <v>98</v>
      </c>
      <c r="B15" s="12">
        <f>AVERAGEIF(employeedata[Department],"Sales",employeedata[MonthlyIncome])</f>
        <v>6959.17264573991</v>
      </c>
    </row>
    <row r="16" spans="1:7" ht="19.5" thickTop="1" thickBot="1" x14ac:dyDescent="0.5">
      <c r="A16" s="15" t="s">
        <v>75</v>
      </c>
      <c r="B16" s="12">
        <f>AVERAGEIF(employeedata[Department],"Human Resources",employeedata[MonthlyIncome])</f>
        <v>6654.5079365079364</v>
      </c>
    </row>
    <row r="17" spans="1:2" ht="19.5" thickTop="1" thickBot="1" x14ac:dyDescent="0.5">
      <c r="A17" s="15" t="s">
        <v>76</v>
      </c>
      <c r="B17" s="12">
        <f>AVERAGEIF(employeedata[Department],"Research &amp; Development",employeedata[MonthlyIncome])</f>
        <v>6281.2528616024974</v>
      </c>
    </row>
    <row r="18" spans="1:2" ht="19.5" thickTop="1" thickBot="1" x14ac:dyDescent="0.5">
      <c r="A18" s="3"/>
      <c r="B18" s="4"/>
    </row>
    <row r="19" spans="1:2" ht="19.5" thickTop="1" thickBot="1" x14ac:dyDescent="0.5">
      <c r="A19" s="13" t="s">
        <v>100</v>
      </c>
      <c r="B19" s="7" t="s">
        <v>71</v>
      </c>
    </row>
    <row r="20" spans="1:2" ht="19.5" thickTop="1" thickBot="1" x14ac:dyDescent="0.5">
      <c r="A20" s="15" t="s">
        <v>77</v>
      </c>
      <c r="B20" s="9">
        <f>COUNTIF(employeedata[JobRole],"Sales Executive")</f>
        <v>326</v>
      </c>
    </row>
    <row r="21" spans="1:2" ht="19.5" thickTop="1" thickBot="1" x14ac:dyDescent="0.5">
      <c r="A21" s="15" t="s">
        <v>78</v>
      </c>
      <c r="B21" s="9">
        <f>COUNTIF(employeedata[JobRole],"Research Scientist")</f>
        <v>292</v>
      </c>
    </row>
    <row r="22" spans="1:2" ht="19.5" thickTop="1" thickBot="1" x14ac:dyDescent="0.5">
      <c r="A22" s="15" t="s">
        <v>79</v>
      </c>
      <c r="B22" s="9">
        <f>COUNTIF(employeedata[JobRole],"Laboratory Technician")</f>
        <v>259</v>
      </c>
    </row>
    <row r="23" spans="1:2" ht="19" thickTop="1" x14ac:dyDescent="0.45">
      <c r="A23" s="3"/>
      <c r="B23" s="4"/>
    </row>
    <row r="24" spans="1:2" ht="19" thickBot="1" x14ac:dyDescent="0.5">
      <c r="A24" s="3"/>
      <c r="B24" s="4"/>
    </row>
    <row r="25" spans="1:2" ht="19.5" thickTop="1" thickBot="1" x14ac:dyDescent="0.5">
      <c r="A25" s="7" t="s">
        <v>80</v>
      </c>
      <c r="B25" s="14" t="s">
        <v>71</v>
      </c>
    </row>
    <row r="26" spans="1:2" ht="19.5" thickTop="1" thickBot="1" x14ac:dyDescent="0.5">
      <c r="A26" s="15" t="s">
        <v>96</v>
      </c>
      <c r="B26" s="9">
        <f>COUNTIF(employeedata[Gender],"Male")</f>
        <v>882</v>
      </c>
    </row>
    <row r="27" spans="1:2" ht="19.5" thickTop="1" thickBot="1" x14ac:dyDescent="0.5">
      <c r="A27" s="15" t="s">
        <v>81</v>
      </c>
      <c r="B27" s="9">
        <f>COUNTIF(employeedata[Gender],"Female")</f>
        <v>588</v>
      </c>
    </row>
    <row r="28" spans="1:2" ht="19" thickTop="1" x14ac:dyDescent="0.45">
      <c r="A28" s="3"/>
      <c r="B28" s="4"/>
    </row>
    <row r="29" spans="1:2" ht="19" thickBot="1" x14ac:dyDescent="0.5">
      <c r="A29" s="3"/>
      <c r="B29" s="4"/>
    </row>
    <row r="30" spans="1:2" ht="19.5" thickTop="1" thickBot="1" x14ac:dyDescent="0.5">
      <c r="A30" s="13" t="s">
        <v>101</v>
      </c>
      <c r="B30" s="13" t="s">
        <v>102</v>
      </c>
    </row>
    <row r="31" spans="1:2" ht="19.5" thickTop="1" thickBot="1" x14ac:dyDescent="0.5">
      <c r="A31" s="15" t="s">
        <v>82</v>
      </c>
      <c r="B31" s="9">
        <f>COUNTIF(employeedata[PerformanceRating],3)</f>
        <v>1244</v>
      </c>
    </row>
    <row r="32" spans="1:2" ht="19.5" thickTop="1" thickBot="1" x14ac:dyDescent="0.5">
      <c r="A32" s="15" t="s">
        <v>83</v>
      </c>
      <c r="B32" s="9">
        <f>COUNTIF(employeedata[PerformanceRating],4)</f>
        <v>226</v>
      </c>
    </row>
    <row r="33" spans="1:2" ht="19.5" thickTop="1" thickBot="1" x14ac:dyDescent="0.5">
      <c r="A33" s="15" t="s">
        <v>84</v>
      </c>
      <c r="B33" s="12">
        <f>AVERAGEIF(employeedata[PerformanceRating],3,employeedata[MonthlyIncome])</f>
        <v>6537.2741157556275</v>
      </c>
    </row>
    <row r="34" spans="1:2" ht="19.5" thickTop="1" thickBot="1" x14ac:dyDescent="0.5">
      <c r="A34" s="15" t="s">
        <v>85</v>
      </c>
      <c r="B34" s="12">
        <f>AVERAGEIF(employeedata[PerformanceRating],4,employeedata[MonthlyIncome])</f>
        <v>6313.8938053097345</v>
      </c>
    </row>
    <row r="35" spans="1:2" ht="19" thickTop="1" x14ac:dyDescent="0.45">
      <c r="A35" s="3"/>
      <c r="B35" s="4"/>
    </row>
    <row r="36" spans="1:2" ht="19" thickBot="1" x14ac:dyDescent="0.5">
      <c r="A36" s="3"/>
      <c r="B36" s="4"/>
    </row>
    <row r="37" spans="1:2" ht="19.5" thickTop="1" thickBot="1" x14ac:dyDescent="0.5">
      <c r="A37" s="13" t="s">
        <v>103</v>
      </c>
      <c r="B37" s="7" t="s">
        <v>93</v>
      </c>
    </row>
    <row r="38" spans="1:2" ht="19.5" thickTop="1" thickBot="1" x14ac:dyDescent="0.5">
      <c r="A38" s="15" t="s">
        <v>86</v>
      </c>
      <c r="B38" s="9">
        <f>COUNTIFS(employeedata[Attrition],"yes",employeedata[Department],"sales")</f>
        <v>92</v>
      </c>
    </row>
    <row r="39" spans="1:2" ht="19.5" thickTop="1" thickBot="1" x14ac:dyDescent="0.5">
      <c r="A39" s="15" t="s">
        <v>87</v>
      </c>
      <c r="B39" s="9">
        <f>COUNTIFS(employeedata[Attrition],"yes",employeedata[Department],"Human Resources")</f>
        <v>12</v>
      </c>
    </row>
    <row r="40" spans="1:2" ht="19.5" thickTop="1" thickBot="1" x14ac:dyDescent="0.5">
      <c r="A40" s="15" t="s">
        <v>88</v>
      </c>
      <c r="B40" s="9">
        <f>COUNTIFS(employeedata[Attrition],"yes",employeedata[Department],"Research &amp; Development")</f>
        <v>133</v>
      </c>
    </row>
    <row r="41" spans="1:2" ht="19.5" thickTop="1" thickBot="1" x14ac:dyDescent="0.5">
      <c r="A41" s="15" t="s">
        <v>89</v>
      </c>
      <c r="B41" s="9">
        <f>COUNTIFS(employeedata[Gender],"Male",
employeedata[Attrition],"Yes")</f>
        <v>150</v>
      </c>
    </row>
    <row r="42" spans="1:2" ht="19.5" thickTop="1" thickBot="1" x14ac:dyDescent="0.5">
      <c r="A42" s="15" t="s">
        <v>90</v>
      </c>
      <c r="B42" s="9">
        <f>COUNTIFS(employeedata[Gender],"Female",
employeedata[Attrition],"Yes")</f>
        <v>87</v>
      </c>
    </row>
    <row r="43" spans="1:2" ht="19.5" thickTop="1" thickBot="1" x14ac:dyDescent="0.5">
      <c r="A43" s="15" t="s">
        <v>91</v>
      </c>
      <c r="B43" s="12">
        <f>AVERAGEIF(employeedata[Attrition],"Yes",employeedata[MonthlyIncome])</f>
        <v>4787.0928270042195</v>
      </c>
    </row>
    <row r="44" spans="1:2" ht="19.5" thickTop="1" thickBot="1" x14ac:dyDescent="0.5">
      <c r="A44" s="15" t="s">
        <v>92</v>
      </c>
      <c r="B44" s="12">
        <f>B2/B7</f>
        <v>6.2025316455696204</v>
      </c>
    </row>
    <row r="45" spans="1:2" ht="15.5" thickTop="1" thickBot="1" x14ac:dyDescent="0.4">
      <c r="A45" s="5"/>
      <c r="B45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74E1-3E29-4D7E-B7B3-F95EDE1321A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E8208-8C4F-4372-84F9-C10E5FFC57E7}">
  <dimension ref="A1:A5"/>
  <sheetViews>
    <sheetView workbookViewId="0">
      <selection activeCell="J14" sqref="J14"/>
    </sheetView>
  </sheetViews>
  <sheetFormatPr defaultRowHeight="14.5" x14ac:dyDescent="0.35"/>
  <sheetData>
    <row r="1" spans="1:1" x14ac:dyDescent="0.35">
      <c r="A1" t="s">
        <v>62</v>
      </c>
    </row>
    <row r="2" spans="1:1" x14ac:dyDescent="0.35">
      <c r="A2" t="s">
        <v>63</v>
      </c>
    </row>
    <row r="4" spans="1:1" x14ac:dyDescent="0.35">
      <c r="A4" t="s">
        <v>64</v>
      </c>
    </row>
    <row r="5" spans="1:1" x14ac:dyDescent="0.35">
      <c r="A5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cleaned_data</vt:lpstr>
      <vt:lpstr>Analysis</vt:lpstr>
      <vt:lpstr>Lookup</vt:lpstr>
      <vt:lpstr>Documentation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KONDA SRAVANI</dc:creator>
  <cp:lastModifiedBy>KONDA SRAVANI</cp:lastModifiedBy>
  <dcterms:created xsi:type="dcterms:W3CDTF">2026-07-28T07:42:55Z</dcterms:created>
  <dcterms:modified xsi:type="dcterms:W3CDTF">2026-07-29T11:42:06Z</dcterms:modified>
</cp:coreProperties>
</file>